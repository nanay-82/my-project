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c634e50cd4362f7/デスクトップ/"/>
    </mc:Choice>
  </mc:AlternateContent>
  <xr:revisionPtr revIDLastSave="108" documentId="8_{96C36C6E-952D-40CB-A4E8-69402BA8AFEF}" xr6:coauthVersionLast="47" xr6:coauthVersionMax="47" xr10:uidLastSave="{7024B8C0-8317-45E8-985C-735F93C9ED24}"/>
  <bookViews>
    <workbookView xWindow="-98" yWindow="-98" windowWidth="21795" windowHeight="13875" xr2:uid="{00000000-000D-0000-FFFF-FFFF00000000}"/>
  </bookViews>
  <sheets>
    <sheet name="2025年末調整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" i="1" l="1"/>
  <c r="R19" i="1"/>
  <c r="R2" i="1"/>
  <c r="R17" i="1"/>
  <c r="R18" i="1"/>
  <c r="R16" i="1"/>
  <c r="R11" i="1"/>
  <c r="R13" i="1"/>
  <c r="R12" i="1"/>
  <c r="R10" i="1"/>
  <c r="R9" i="1"/>
  <c r="R8" i="1"/>
  <c r="R7" i="1"/>
  <c r="R6" i="1"/>
  <c r="R5" i="1"/>
  <c r="R4" i="1"/>
  <c r="R3" i="1"/>
  <c r="R14" i="1" l="1"/>
</calcChain>
</file>

<file path=xl/sharedStrings.xml><?xml version="1.0" encoding="utf-8"?>
<sst xmlns="http://schemas.openxmlformats.org/spreadsheetml/2006/main" count="48" uniqueCount="43">
  <si>
    <t>氏名</t>
  </si>
  <si>
    <t>雇用時期</t>
  </si>
  <si>
    <t>メモ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</si>
  <si>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</si>
  <si>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</si>
  <si>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</si>
  <si>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</si>
  <si>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</si>
  <si>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</si>
  <si>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</si>
  <si>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</si>
  <si>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</si>
  <si>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</si>
  <si>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</si>
  <si>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</si>
  <si>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計</t>
  </si>
  <si>
    <t>田中あやか</t>
  </si>
  <si>
    <t>源泉徴収のみ</t>
  </si>
  <si>
    <t>浜松事務所</t>
  </si>
  <si>
    <t>一之谷寛先生</t>
  </si>
  <si>
    <t>岡田先生</t>
  </si>
  <si>
    <t>近藤先生</t>
  </si>
  <si>
    <t>半田先生</t>
  </si>
  <si>
    <t>波田野先生</t>
  </si>
  <si>
    <t>内村優</t>
  </si>
  <si>
    <t>内村舜</t>
  </si>
  <si>
    <t>田村先生</t>
  </si>
  <si>
    <t>中村和人先生</t>
  </si>
  <si>
    <t>2025年4月より業務委託契約</t>
  </si>
  <si>
    <t>中塚先生</t>
  </si>
  <si>
    <t>濱田先生</t>
  </si>
  <si>
    <t>中村先生4月</t>
    <rPh sb="0" eb="2">
      <t>ナカムラ</t>
    </rPh>
    <rPh sb="2" eb="4">
      <t>センセイ</t>
    </rPh>
    <rPh sb="5" eb="6">
      <t>ガツ</t>
    </rPh>
    <phoneticPr fontId="2"/>
  </si>
  <si>
    <t>中塚先生</t>
    <rPh sb="0" eb="2">
      <t>ナカツカ</t>
    </rPh>
    <rPh sb="2" eb="4">
      <t>センセイ</t>
    </rPh>
    <phoneticPr fontId="2"/>
  </si>
  <si>
    <t>課税対象額</t>
    <rPh sb="0" eb="2">
      <t>カゼイ</t>
    </rPh>
    <rPh sb="2" eb="5">
      <t>タイショウガク</t>
    </rPh>
    <phoneticPr fontId="2"/>
  </si>
  <si>
    <t>所得税</t>
    <rPh sb="0" eb="3">
      <t>ショトクゼイ</t>
    </rPh>
    <phoneticPr fontId="2"/>
  </si>
  <si>
    <t>中紳一</t>
    <rPh sb="0" eb="1">
      <t>ナカ</t>
    </rPh>
    <rPh sb="1" eb="3">
      <t>シンイチ</t>
    </rPh>
    <phoneticPr fontId="2"/>
  </si>
  <si>
    <t>退職組</t>
    <rPh sb="0" eb="3">
      <t>タイショクグミ</t>
    </rPh>
    <phoneticPr fontId="2"/>
  </si>
  <si>
    <t>原口しの</t>
    <rPh sb="0" eb="2">
      <t>ハラグチ</t>
    </rPh>
    <phoneticPr fontId="2"/>
  </si>
  <si>
    <r>
      <t>2025</t>
    </r>
    <r>
      <rPr>
        <sz val="10"/>
        <color rgb="FF000000"/>
        <rFont val="ＭＳ ゴシック"/>
        <family val="3"/>
        <charset val="128"/>
      </rPr>
      <t>年</t>
    </r>
    <r>
      <rPr>
        <sz val="10"/>
        <color rgb="FF000000"/>
        <rFont val="Arial"/>
        <family val="2"/>
        <scheme val="minor"/>
      </rPr>
      <t>3</t>
    </r>
    <r>
      <rPr>
        <sz val="10"/>
        <color rgb="FF000000"/>
        <rFont val="ＭＳ ゴシック"/>
        <family val="3"/>
        <charset val="128"/>
      </rPr>
      <t>月まで</t>
    </r>
    <rPh sb="4" eb="5">
      <t>ネン</t>
    </rPh>
    <rPh sb="6" eb="7">
      <t>ガツ</t>
    </rPh>
    <phoneticPr fontId="2"/>
  </si>
  <si>
    <t>2025年3月まで</t>
    <rPh sb="4" eb="5">
      <t>ネン</t>
    </rPh>
    <rPh sb="6" eb="7">
      <t>ガツ</t>
    </rPh>
    <phoneticPr fontId="2"/>
  </si>
  <si>
    <r>
      <rPr>
        <sz val="10"/>
        <color rgb="FF000000"/>
        <rFont val="ＭＳ ゴシック"/>
        <family val="3"/>
        <charset val="128"/>
      </rPr>
      <t>中先生</t>
    </r>
    <r>
      <rPr>
        <sz val="10"/>
        <color rgb="FF000000"/>
        <rFont val="Arial"/>
        <family val="2"/>
        <scheme val="minor"/>
      </rPr>
      <t>2</t>
    </r>
    <r>
      <rPr>
        <sz val="10"/>
        <color rgb="FF000000"/>
        <rFont val="游ゴシック"/>
        <family val="2"/>
        <charset val="128"/>
      </rPr>
      <t>月</t>
    </r>
    <rPh sb="0" eb="3">
      <t>ナカセンセイ</t>
    </rPh>
    <rPh sb="4" eb="5">
      <t>ガツ</t>
    </rPh>
    <phoneticPr fontId="2"/>
  </si>
  <si>
    <t>中先生３月</t>
    <rPh sb="0" eb="3">
      <t>ナカセンセイ</t>
    </rPh>
    <rPh sb="4" eb="5">
      <t>ガツ</t>
    </rPh>
    <phoneticPr fontId="2"/>
  </si>
  <si>
    <t>野村泰平</t>
    <rPh sb="0" eb="2">
      <t>ノムラ</t>
    </rPh>
    <rPh sb="2" eb="4">
      <t>タイヘイ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</si>
</sst>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6"/>
      <name val="Arial"/>
      <family val="3"/>
      <charset val="128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3"/>
      <charset val="128"/>
      <scheme val="minor"/>
    </font>
    <font>
      <sz val="10"/>
      <color rgb="FF000000"/>
      <name val="ＭＳ Ｐゴシック"/>
      <family val="3"/>
      <charset val="128"/>
    </font>
    <font>
      <sz val="10"/>
      <color rgb="FF000000"/>
      <name val="ＭＳ ゴシック"/>
      <family val="3"/>
      <charset val="128"/>
    </font>
    <font>
      <sz val="10"/>
      <color rgb="FF000000"/>
      <name val="游ゴシック"/>
      <family val="2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55" fontId="1" fillId="0" borderId="0" xfId="0" applyNumberFormat="1" applyFont="1"/>
    <xf numFmtId="3" fontId="1" fillId="0" borderId="0" xfId="0" applyNumberFormat="1" applyFont="1"/>
    <xf numFmtId="0" fontId="3" fillId="0" borderId="0" xfId="0" applyFont="1"/>
    <xf numFmtId="0" fontId="5" fillId="0" borderId="0" xfId="0" applyFont="1"/>
    <xf numFmtId="0" fontId="0" fillId="0" borderId="1" xfId="0" applyBorder="1"/>
    <xf numFmtId="0" fontId="0" fillId="0" borderId="0" xfId="0" applyBorder="1"/>
    <xf numFmtId="0" fontId="5" fillId="0" borderId="0" xfId="0" applyFont="1" applyBorder="1"/>
    <xf numFmtId="0" fontId="3" fillId="0" borderId="0" xfId="0" applyFont="1" applyBorder="1"/>
    <xf numFmtId="0" fontId="0" fillId="0" borderId="0" xfId="0" applyFill="1" applyBorder="1"/>
    <xf numFmtId="0" fontId="4" fillId="0" borderId="0" xfId="0" applyFont="1"/>
    <xf numFmtId="0" fontId="3" fillId="0" borderId="2" xfId="0" applyFont="1" applyBorder="1"/>
    <xf numFmtId="0" fontId="0" fillId="0" borderId="2" xfId="0" applyBorder="1"/>
    <xf numFmtId="0" fontId="0" fillId="0" borderId="2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24"/>
  <sheetViews>
    <sheetView tabSelected="1" topLeftCell="G5" workbookViewId="0">
      <selection activeCell="R21" sqref="R21"/>
    </sheetView>
  </sheetViews>
  <sheetFormatPr defaultColWidth="12.59765625" defaultRowHeight="15.75" customHeight="1" x14ac:dyDescent="0.35"/>
  <cols>
    <col min="18" max="18" width="17" customWidth="1"/>
  </cols>
  <sheetData>
    <row r="1" spans="1:18" ht="12.75" x14ac:dyDescent="0.35">
      <c r="B1" s="1" t="s">
        <v>0</v>
      </c>
      <c r="C1" s="1"/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</row>
    <row r="2" spans="1:18" ht="12.75" x14ac:dyDescent="0.35">
      <c r="A2">
        <v>1</v>
      </c>
      <c r="B2" s="1" t="s">
        <v>16</v>
      </c>
      <c r="C2" s="1" t="s">
        <v>17</v>
      </c>
      <c r="D2" s="2">
        <v>45870</v>
      </c>
      <c r="E2" s="1" t="s">
        <v>18</v>
      </c>
      <c r="N2" s="3">
        <v>5175</v>
      </c>
      <c r="O2" s="3">
        <v>31625</v>
      </c>
      <c r="P2" s="3">
        <v>44900</v>
      </c>
      <c r="Q2" s="3">
        <v>28513</v>
      </c>
      <c r="R2" s="1">
        <f t="shared" ref="R2:R13" si="0">SUM(F2:Q2)</f>
        <v>110213</v>
      </c>
    </row>
    <row r="3" spans="1:18" ht="12.75" x14ac:dyDescent="0.35">
      <c r="A3">
        <v>2</v>
      </c>
      <c r="B3" s="1" t="s">
        <v>19</v>
      </c>
      <c r="C3" s="3"/>
      <c r="D3" s="3"/>
      <c r="E3" s="3"/>
      <c r="F3" s="3">
        <v>41000</v>
      </c>
      <c r="G3" s="3">
        <v>46000</v>
      </c>
      <c r="H3" s="3">
        <v>38900</v>
      </c>
      <c r="I3" s="3">
        <v>54780</v>
      </c>
      <c r="J3" s="3">
        <v>45800</v>
      </c>
      <c r="K3" s="3">
        <v>34800</v>
      </c>
      <c r="L3" s="3">
        <v>28200</v>
      </c>
      <c r="M3" s="3">
        <v>39200</v>
      </c>
      <c r="N3" s="3">
        <v>50200</v>
      </c>
      <c r="O3" s="3">
        <v>23910</v>
      </c>
      <c r="P3" s="3">
        <v>33100</v>
      </c>
      <c r="Q3" s="3">
        <v>40000</v>
      </c>
      <c r="R3" s="3">
        <f t="shared" si="0"/>
        <v>475890</v>
      </c>
    </row>
    <row r="4" spans="1:18" ht="12.75" x14ac:dyDescent="0.35">
      <c r="A4">
        <v>3</v>
      </c>
      <c r="B4" s="1" t="s">
        <v>20</v>
      </c>
      <c r="D4" s="2">
        <v>45748</v>
      </c>
      <c r="I4" s="3"/>
      <c r="J4" s="3">
        <v>17800</v>
      </c>
      <c r="K4" s="3">
        <v>17800</v>
      </c>
      <c r="L4" s="3">
        <v>23200</v>
      </c>
      <c r="M4" s="3">
        <v>14200</v>
      </c>
      <c r="N4" s="3">
        <v>61000</v>
      </c>
      <c r="O4" s="3">
        <v>29200</v>
      </c>
      <c r="P4" s="3">
        <v>17200</v>
      </c>
      <c r="Q4" s="3">
        <v>17200</v>
      </c>
      <c r="R4" s="1">
        <f t="shared" si="0"/>
        <v>197600</v>
      </c>
    </row>
    <row r="5" spans="1:18" ht="12.75" x14ac:dyDescent="0.35">
      <c r="A5">
        <v>4</v>
      </c>
      <c r="B5" s="1" t="s">
        <v>21</v>
      </c>
      <c r="C5" s="3"/>
      <c r="D5" s="3"/>
      <c r="E5" s="3"/>
      <c r="F5" s="3">
        <v>75400</v>
      </c>
      <c r="G5" s="3">
        <v>76200</v>
      </c>
      <c r="H5" s="3">
        <v>83800</v>
      </c>
      <c r="I5" s="3">
        <v>86500</v>
      </c>
      <c r="J5" s="3">
        <v>54200</v>
      </c>
      <c r="K5" s="3">
        <v>41600</v>
      </c>
      <c r="L5" s="3">
        <v>72700</v>
      </c>
      <c r="M5" s="3">
        <v>67600</v>
      </c>
      <c r="N5" s="3">
        <v>41200</v>
      </c>
      <c r="O5" s="3">
        <v>57200</v>
      </c>
      <c r="P5" s="3">
        <v>56810</v>
      </c>
      <c r="Q5" s="3">
        <v>53210</v>
      </c>
      <c r="R5" s="3">
        <f t="shared" si="0"/>
        <v>766420</v>
      </c>
    </row>
    <row r="6" spans="1:18" ht="12.75" x14ac:dyDescent="0.35">
      <c r="A6">
        <v>5</v>
      </c>
      <c r="B6" s="1" t="s">
        <v>22</v>
      </c>
      <c r="C6" s="3"/>
      <c r="D6" s="3"/>
      <c r="E6" s="3"/>
      <c r="F6" s="3">
        <v>90000</v>
      </c>
      <c r="G6" s="3">
        <v>68600</v>
      </c>
      <c r="H6" s="3">
        <v>77000</v>
      </c>
      <c r="I6" s="3">
        <v>52000</v>
      </c>
      <c r="J6" s="3">
        <v>36000</v>
      </c>
      <c r="K6" s="3">
        <v>34000</v>
      </c>
      <c r="L6" s="3">
        <v>32000</v>
      </c>
      <c r="M6" s="3">
        <v>46000</v>
      </c>
      <c r="N6" s="3">
        <v>40000</v>
      </c>
      <c r="O6" s="3">
        <v>44000</v>
      </c>
      <c r="P6" s="3">
        <v>32000</v>
      </c>
      <c r="Q6" s="3">
        <v>42000</v>
      </c>
      <c r="R6" s="3">
        <f t="shared" si="0"/>
        <v>593600</v>
      </c>
    </row>
    <row r="7" spans="1:18" ht="12.75" x14ac:dyDescent="0.35">
      <c r="A7">
        <v>6</v>
      </c>
      <c r="B7" s="1" t="s">
        <v>23</v>
      </c>
      <c r="C7" s="1" t="s">
        <v>17</v>
      </c>
      <c r="D7" s="2">
        <v>45717</v>
      </c>
      <c r="H7" s="3">
        <v>3000</v>
      </c>
      <c r="I7" s="3">
        <v>5400</v>
      </c>
      <c r="J7" s="3">
        <v>8800</v>
      </c>
      <c r="K7" s="3">
        <v>8800</v>
      </c>
      <c r="L7" s="3">
        <v>9500</v>
      </c>
      <c r="M7" s="3">
        <v>5700</v>
      </c>
      <c r="N7" s="3">
        <v>0</v>
      </c>
      <c r="O7" s="3">
        <v>16400</v>
      </c>
      <c r="P7" s="3">
        <v>18400</v>
      </c>
      <c r="Q7" s="3">
        <v>15200</v>
      </c>
      <c r="R7" s="1">
        <f t="shared" si="0"/>
        <v>91200</v>
      </c>
    </row>
    <row r="8" spans="1:18" ht="12.75" x14ac:dyDescent="0.35">
      <c r="A8">
        <v>7</v>
      </c>
      <c r="B8" s="1" t="s">
        <v>24</v>
      </c>
      <c r="C8" s="3" t="s">
        <v>17</v>
      </c>
      <c r="D8" s="3"/>
      <c r="E8" s="3"/>
      <c r="F8" s="3">
        <v>25200</v>
      </c>
      <c r="G8" s="3">
        <v>33900</v>
      </c>
      <c r="H8" s="3">
        <v>36000</v>
      </c>
      <c r="I8" s="3">
        <v>40200</v>
      </c>
      <c r="J8" s="3">
        <v>38850</v>
      </c>
      <c r="K8" s="3">
        <v>28950</v>
      </c>
      <c r="L8" s="3">
        <v>29300</v>
      </c>
      <c r="M8" s="3">
        <v>30050</v>
      </c>
      <c r="N8" s="3">
        <v>40500</v>
      </c>
      <c r="O8" s="3">
        <v>17100</v>
      </c>
      <c r="P8" s="3">
        <v>17800</v>
      </c>
      <c r="Q8" s="3">
        <v>21350</v>
      </c>
      <c r="R8" s="3">
        <f t="shared" si="0"/>
        <v>359200</v>
      </c>
    </row>
    <row r="9" spans="1:18" ht="12.75" x14ac:dyDescent="0.35">
      <c r="A9">
        <v>8</v>
      </c>
      <c r="B9" s="1" t="s">
        <v>25</v>
      </c>
      <c r="C9" s="3"/>
      <c r="D9" s="3"/>
      <c r="E9" s="3"/>
      <c r="F9" s="3">
        <v>34600</v>
      </c>
      <c r="G9" s="3">
        <v>34600</v>
      </c>
      <c r="H9" s="3">
        <v>27800</v>
      </c>
      <c r="I9" s="3">
        <v>51000</v>
      </c>
      <c r="J9" s="3">
        <v>41300</v>
      </c>
      <c r="K9" s="3">
        <v>42000</v>
      </c>
      <c r="L9" s="3">
        <v>43200</v>
      </c>
      <c r="M9" s="3">
        <v>40100</v>
      </c>
      <c r="N9" s="3">
        <v>34400</v>
      </c>
      <c r="O9" s="3">
        <v>47000</v>
      </c>
      <c r="P9" s="3">
        <v>50000</v>
      </c>
      <c r="Q9" s="3">
        <v>44000</v>
      </c>
      <c r="R9" s="3">
        <f t="shared" si="0"/>
        <v>490000</v>
      </c>
    </row>
    <row r="10" spans="1:18" ht="12.75" x14ac:dyDescent="0.35">
      <c r="A10">
        <v>9</v>
      </c>
      <c r="B10" s="1" t="s">
        <v>26</v>
      </c>
      <c r="D10" s="2">
        <v>45689</v>
      </c>
      <c r="G10" s="3"/>
      <c r="H10" s="1">
        <v>6600</v>
      </c>
      <c r="I10" s="3">
        <v>14400</v>
      </c>
      <c r="J10" s="3">
        <v>17900</v>
      </c>
      <c r="K10" s="3">
        <v>23800</v>
      </c>
      <c r="L10" s="3">
        <v>23600</v>
      </c>
      <c r="M10" s="3">
        <v>17900</v>
      </c>
      <c r="N10" s="3">
        <v>0</v>
      </c>
      <c r="O10" s="3">
        <v>18800</v>
      </c>
      <c r="P10" s="3">
        <v>20000</v>
      </c>
      <c r="Q10" s="3">
        <v>24800</v>
      </c>
      <c r="R10" s="1">
        <f t="shared" si="0"/>
        <v>167800</v>
      </c>
    </row>
    <row r="11" spans="1:18" ht="12.75" x14ac:dyDescent="0.35">
      <c r="A11">
        <v>10</v>
      </c>
      <c r="B11" s="1" t="s">
        <v>27</v>
      </c>
      <c r="C11" s="3"/>
      <c r="D11" s="3"/>
      <c r="E11" s="3" t="s">
        <v>28</v>
      </c>
      <c r="F11" s="3">
        <v>86080</v>
      </c>
      <c r="G11" s="3">
        <v>66950</v>
      </c>
      <c r="H11" s="3">
        <v>64900</v>
      </c>
      <c r="I11" s="3">
        <v>123850</v>
      </c>
      <c r="J11" s="3">
        <v>169800</v>
      </c>
      <c r="K11" s="3">
        <v>169800</v>
      </c>
      <c r="L11" s="3">
        <v>142200</v>
      </c>
      <c r="M11" s="3">
        <v>175200</v>
      </c>
      <c r="N11" s="3">
        <v>157600</v>
      </c>
      <c r="O11" s="3">
        <v>144400</v>
      </c>
      <c r="P11" s="3">
        <v>156600</v>
      </c>
      <c r="Q11" s="3">
        <v>150000</v>
      </c>
      <c r="R11" s="1">
        <f t="shared" si="0"/>
        <v>1607380</v>
      </c>
    </row>
    <row r="12" spans="1:18" ht="12.75" x14ac:dyDescent="0.35">
      <c r="A12">
        <v>11</v>
      </c>
      <c r="B12" s="1" t="s">
        <v>29</v>
      </c>
      <c r="C12" s="1" t="s">
        <v>17</v>
      </c>
      <c r="D12" s="2">
        <v>45748</v>
      </c>
      <c r="J12" s="3">
        <v>24000</v>
      </c>
      <c r="K12" s="3">
        <v>40000</v>
      </c>
      <c r="L12" s="3">
        <v>54000</v>
      </c>
      <c r="M12" s="3">
        <v>52600</v>
      </c>
      <c r="N12" s="3">
        <v>91200</v>
      </c>
      <c r="O12" s="3">
        <v>52400</v>
      </c>
      <c r="P12" s="3">
        <v>42800</v>
      </c>
      <c r="Q12" s="3">
        <v>42800</v>
      </c>
      <c r="R12" s="1">
        <f t="shared" si="0"/>
        <v>399800</v>
      </c>
    </row>
    <row r="13" spans="1:18" ht="12.75" x14ac:dyDescent="0.35">
      <c r="A13">
        <v>12</v>
      </c>
      <c r="B13" s="1" t="s">
        <v>30</v>
      </c>
      <c r="C13" s="1" t="s">
        <v>17</v>
      </c>
      <c r="F13" s="3">
        <v>23100</v>
      </c>
      <c r="G13" s="3">
        <v>18900</v>
      </c>
      <c r="H13" s="3">
        <v>31500</v>
      </c>
      <c r="I13" s="3">
        <v>18900</v>
      </c>
      <c r="J13" s="3">
        <v>13200</v>
      </c>
      <c r="K13" s="3">
        <v>19800</v>
      </c>
      <c r="L13" s="3">
        <v>26400</v>
      </c>
      <c r="M13" s="3">
        <v>19800</v>
      </c>
      <c r="O13" s="3">
        <v>19800</v>
      </c>
      <c r="P13" s="3">
        <v>27600</v>
      </c>
      <c r="Q13" s="3">
        <v>27600</v>
      </c>
      <c r="R13" s="1">
        <f t="shared" si="0"/>
        <v>246600</v>
      </c>
    </row>
    <row r="14" spans="1:18" ht="15.75" customHeight="1" x14ac:dyDescent="0.35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>
        <f>SUM(R2:R13)</f>
        <v>5505703</v>
      </c>
    </row>
    <row r="15" spans="1:18" ht="15.75" customHeight="1" x14ac:dyDescent="0.35">
      <c r="A15" s="5" t="s">
        <v>36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</row>
    <row r="16" spans="1:18" ht="15.75" customHeight="1" x14ac:dyDescent="0.35">
      <c r="B16" s="8" t="s">
        <v>35</v>
      </c>
      <c r="C16" s="7"/>
      <c r="D16" s="8" t="s">
        <v>39</v>
      </c>
      <c r="E16" s="7"/>
      <c r="F16" s="7">
        <v>120600</v>
      </c>
      <c r="G16" s="7">
        <v>104200</v>
      </c>
      <c r="H16" s="7">
        <v>96600</v>
      </c>
      <c r="I16" s="10">
        <v>54800</v>
      </c>
      <c r="J16" s="7"/>
      <c r="K16" s="7"/>
      <c r="L16" s="7"/>
      <c r="M16" s="7"/>
      <c r="N16" s="7"/>
      <c r="O16" s="7"/>
      <c r="P16" s="7"/>
      <c r="Q16" s="7"/>
      <c r="R16" s="7">
        <f>SUM(F16:Q16)</f>
        <v>376200</v>
      </c>
    </row>
    <row r="17" spans="1:18" ht="15.75" customHeight="1" x14ac:dyDescent="0.35">
      <c r="B17" s="8" t="s">
        <v>37</v>
      </c>
      <c r="C17" s="7"/>
      <c r="D17" s="9" t="s">
        <v>38</v>
      </c>
      <c r="E17" s="7"/>
      <c r="F17" s="7">
        <v>22600</v>
      </c>
      <c r="G17" s="7">
        <v>20500</v>
      </c>
      <c r="H17" s="7">
        <v>39400</v>
      </c>
      <c r="I17" s="7">
        <v>12600</v>
      </c>
      <c r="J17" s="7"/>
      <c r="K17" s="7"/>
      <c r="L17" s="7"/>
      <c r="M17" s="7"/>
      <c r="N17" s="7"/>
      <c r="O17" s="7"/>
      <c r="P17" s="7"/>
      <c r="Q17" s="7"/>
      <c r="R17" s="7">
        <f t="shared" ref="R17:R18" si="1">SUM(F17:Q17)</f>
        <v>95100</v>
      </c>
    </row>
    <row r="18" spans="1:18" ht="15.75" customHeight="1" x14ac:dyDescent="0.35">
      <c r="B18" s="12" t="s">
        <v>42</v>
      </c>
      <c r="C18" s="13"/>
      <c r="D18" s="12" t="s">
        <v>39</v>
      </c>
      <c r="E18" s="13"/>
      <c r="F18" s="14">
        <v>39400</v>
      </c>
      <c r="G18" s="14">
        <v>36400</v>
      </c>
      <c r="H18" s="14">
        <v>20900</v>
      </c>
      <c r="I18" s="14">
        <v>20900</v>
      </c>
      <c r="J18" s="13"/>
      <c r="K18" s="13"/>
      <c r="L18" s="13"/>
      <c r="M18" s="13"/>
      <c r="N18" s="13"/>
      <c r="O18" s="13"/>
      <c r="P18" s="13"/>
      <c r="Q18" s="13"/>
      <c r="R18" s="13">
        <f t="shared" si="1"/>
        <v>117600</v>
      </c>
    </row>
    <row r="19" spans="1:18" ht="15.75" customHeight="1" x14ac:dyDescent="0.35">
      <c r="R19">
        <f>SUM(R16:R18)</f>
        <v>588900</v>
      </c>
    </row>
    <row r="20" spans="1:18" ht="15.75" customHeight="1" x14ac:dyDescent="0.35">
      <c r="B20" s="5" t="s">
        <v>33</v>
      </c>
      <c r="C20" s="5" t="s">
        <v>34</v>
      </c>
      <c r="R20">
        <f>R14+R19</f>
        <v>6094603</v>
      </c>
    </row>
    <row r="21" spans="1:18" ht="15.75" customHeight="1" x14ac:dyDescent="0.35">
      <c r="A21" s="4" t="s">
        <v>31</v>
      </c>
      <c r="B21">
        <v>123850</v>
      </c>
      <c r="C21">
        <v>1950</v>
      </c>
    </row>
    <row r="22" spans="1:18" ht="15.75" customHeight="1" x14ac:dyDescent="0.35">
      <c r="A22" s="4" t="s">
        <v>32</v>
      </c>
      <c r="B22">
        <v>91200</v>
      </c>
      <c r="C22">
        <v>290</v>
      </c>
    </row>
    <row r="23" spans="1:18" ht="15.75" customHeight="1" x14ac:dyDescent="0.65">
      <c r="A23" s="11" t="s">
        <v>40</v>
      </c>
      <c r="B23">
        <v>104200</v>
      </c>
      <c r="C23">
        <v>930</v>
      </c>
    </row>
    <row r="24" spans="1:18" ht="15.75" customHeight="1" x14ac:dyDescent="0.35">
      <c r="A24" s="5" t="s">
        <v>41</v>
      </c>
      <c r="B24" s="4">
        <v>96600</v>
      </c>
      <c r="C24">
        <v>540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2025年末調整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Nana Yamakawa</cp:lastModifiedBy>
  <dcterms:created xsi:type="dcterms:W3CDTF">2025-12-15T01:21:16Z</dcterms:created>
  <dcterms:modified xsi:type="dcterms:W3CDTF">2025-12-18T03:09:16Z</dcterms:modified>
</cp:coreProperties>
</file>