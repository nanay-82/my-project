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634e50cd4362f7/デスクトップ/塾/助成金関係/完了報告書/"/>
    </mc:Choice>
  </mc:AlternateContent>
  <xr:revisionPtr revIDLastSave="8" documentId="8_{FBAB75E3-C754-48F3-8158-23C256D8E31B}" xr6:coauthVersionLast="47" xr6:coauthVersionMax="47" xr10:uidLastSave="{9ED24F36-A229-4DEE-86C0-0D91A0EA1499}"/>
  <bookViews>
    <workbookView minimized="1" xWindow="7365" yWindow="4185" windowWidth="13830" windowHeight="9450" xr2:uid="{CE102766-CA0E-4E03-910E-DC1B246E7E27}"/>
  </bookViews>
  <sheets>
    <sheet name="助成金申告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J10" i="1"/>
  <c r="C9" i="1"/>
</calcChain>
</file>

<file path=xl/sharedStrings.xml><?xml version="1.0" encoding="utf-8"?>
<sst xmlns="http://schemas.openxmlformats.org/spreadsheetml/2006/main" count="42" uniqueCount="21">
  <si>
    <t>見積書</t>
  </si>
  <si>
    <t>請求書</t>
  </si>
  <si>
    <t>納品書</t>
  </si>
  <si>
    <t>面談室の改装</t>
  </si>
  <si>
    <t>自転車ポート</t>
  </si>
  <si>
    <t>広告用のぼり旗の設置</t>
  </si>
  <si>
    <t>チラシの配布</t>
  </si>
  <si>
    <t>Webサイト改修</t>
  </si>
  <si>
    <t>〇</t>
  </si>
  <si>
    <t>振込先</t>
  </si>
  <si>
    <t>アルテ</t>
  </si>
  <si>
    <t>ここなら</t>
  </si>
  <si>
    <t>川橋さん</t>
  </si>
  <si>
    <t>日付</t>
  </si>
  <si>
    <t>口座</t>
  </si>
  <si>
    <t>Paypay</t>
  </si>
  <si>
    <t>クレカ</t>
  </si>
  <si>
    <t>UFJ</t>
  </si>
  <si>
    <t>写真</t>
  </si>
  <si>
    <t>before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</si>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</sst>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8DA6F-176E-4101-9A04-A18D64EB0EEC}">
  <dimension ref="B2:P10"/>
  <sheetViews>
    <sheetView tabSelected="1" workbookViewId="0">
      <selection activeCell="D6" sqref="D6"/>
    </sheetView>
  </sheetViews>
  <sheetFormatPr defaultRowHeight="14.25" x14ac:dyDescent="0.45"/>
  <cols>
    <col min="3" max="3" width="10.73046875" bestFit="1" customWidth="1"/>
  </cols>
  <sheetData>
    <row r="2" spans="2:16" x14ac:dyDescent="0.45">
      <c r="N2" t="s">
        <v>18</v>
      </c>
    </row>
    <row r="3" spans="2:16" x14ac:dyDescent="0.45">
      <c r="D3" t="s">
        <v>0</v>
      </c>
      <c r="E3" t="s">
        <v>1</v>
      </c>
      <c r="F3" t="s">
        <v>2</v>
      </c>
      <c r="G3" t="s">
        <v>9</v>
      </c>
      <c r="H3" t="s">
        <v>14</v>
      </c>
      <c r="I3" t="s">
        <v>13</v>
      </c>
      <c r="N3" t="s">
        <v>19</v>
      </c>
      <c r="O3" t="s">
        <v>20</v>
      </c>
    </row>
    <row r="4" spans="2:16" x14ac:dyDescent="0.45">
      <c r="B4" t="s">
        <v>3</v>
      </c>
      <c r="C4">
        <v>1320000</v>
      </c>
      <c r="D4" t="s">
        <v>8</v>
      </c>
      <c r="E4" t="s">
        <v>8</v>
      </c>
      <c r="F4" t="s">
        <v>8</v>
      </c>
      <c r="G4" t="s">
        <v>10</v>
      </c>
      <c r="H4" t="s">
        <v>15</v>
      </c>
      <c r="I4" s="1">
        <v>45351</v>
      </c>
      <c r="J4">
        <v>467300</v>
      </c>
      <c r="K4" s="1">
        <v>45406</v>
      </c>
      <c r="L4">
        <v>1000000</v>
      </c>
      <c r="N4" t="s">
        <v>8</v>
      </c>
      <c r="O4" t="s">
        <v>8</v>
      </c>
      <c r="P4">
        <v>320000</v>
      </c>
    </row>
    <row r="5" spans="2:16" x14ac:dyDescent="0.45">
      <c r="B5" t="s">
        <v>4</v>
      </c>
      <c r="C5">
        <v>660000</v>
      </c>
      <c r="D5" t="s">
        <v>8</v>
      </c>
      <c r="E5" t="s">
        <v>8</v>
      </c>
      <c r="F5" t="s">
        <v>8</v>
      </c>
      <c r="G5" t="s">
        <v>10</v>
      </c>
      <c r="H5" t="s">
        <v>15</v>
      </c>
      <c r="I5" s="1"/>
      <c r="K5" s="1">
        <v>45427</v>
      </c>
      <c r="L5">
        <v>415250</v>
      </c>
      <c r="N5" t="s">
        <v>8</v>
      </c>
      <c r="O5" t="s">
        <v>8</v>
      </c>
      <c r="P5">
        <f>J4-P4</f>
        <v>147300</v>
      </c>
    </row>
    <row r="6" spans="2:16" x14ac:dyDescent="0.45">
      <c r="B6" t="s">
        <v>5</v>
      </c>
      <c r="C6">
        <v>66000</v>
      </c>
      <c r="G6" t="s">
        <v>11</v>
      </c>
      <c r="H6" t="s">
        <v>16</v>
      </c>
      <c r="O6" t="s">
        <v>8</v>
      </c>
    </row>
    <row r="7" spans="2:16" x14ac:dyDescent="0.45">
      <c r="B7" t="s">
        <v>6</v>
      </c>
      <c r="C7">
        <v>348000</v>
      </c>
      <c r="D7" t="s">
        <v>8</v>
      </c>
      <c r="E7" t="s">
        <v>8</v>
      </c>
      <c r="F7" t="s">
        <v>8</v>
      </c>
      <c r="G7" t="s">
        <v>12</v>
      </c>
      <c r="H7" t="s">
        <v>17</v>
      </c>
      <c r="I7" s="1">
        <v>45472</v>
      </c>
      <c r="J7">
        <v>330000</v>
      </c>
      <c r="O7" t="s">
        <v>8</v>
      </c>
    </row>
    <row r="8" spans="2:16" x14ac:dyDescent="0.45">
      <c r="B8" t="s">
        <v>7</v>
      </c>
      <c r="C8">
        <v>770000</v>
      </c>
      <c r="D8" t="s">
        <v>8</v>
      </c>
      <c r="E8" t="s">
        <v>8</v>
      </c>
      <c r="F8" t="s">
        <v>8</v>
      </c>
      <c r="G8" t="s">
        <v>12</v>
      </c>
      <c r="H8" t="s">
        <v>17</v>
      </c>
      <c r="I8" s="1">
        <v>45475</v>
      </c>
      <c r="J8">
        <v>770000</v>
      </c>
    </row>
    <row r="9" spans="2:16" x14ac:dyDescent="0.45">
      <c r="C9">
        <f>SUM(C4:C8)</f>
        <v>3164000</v>
      </c>
    </row>
    <row r="10" spans="2:16" x14ac:dyDescent="0.45">
      <c r="J10">
        <f>SUM(J4:J8)+L4+L5</f>
        <v>2982550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助成金申告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 Yamakawa</dc:creator>
  <cp:lastModifiedBy>Nana Yamakawa</cp:lastModifiedBy>
  <dcterms:created xsi:type="dcterms:W3CDTF">2024-07-04T01:26:30Z</dcterms:created>
  <dcterms:modified xsi:type="dcterms:W3CDTF">2024-07-22T23:10:17Z</dcterms:modified>
</cp:coreProperties>
</file>