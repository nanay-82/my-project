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塾/"/>
    </mc:Choice>
  </mc:AlternateContent>
  <xr:revisionPtr revIDLastSave="14" documentId="8_{8D1B5503-AC49-41A5-A62F-24DB1394F205}" xr6:coauthVersionLast="47" xr6:coauthVersionMax="47" xr10:uidLastSave="{41E68F7A-EC1C-48F3-8EDC-A6AAF2013002}"/>
  <bookViews>
    <workbookView xWindow="-98" yWindow="-98" windowWidth="20715" windowHeight="13155" activeTab="7" xr2:uid="{00000000-000D-0000-FFFF-FFFF00000000}"/>
  </bookViews>
  <sheets>
    <sheet name="中" sheetId="2" r:id="rId1"/>
    <sheet name="後藤" sheetId="3" r:id="rId2"/>
    <sheet name="政谷(現金）" sheetId="4" r:id="rId3"/>
    <sheet name="綱嶋（現金）" sheetId="5" r:id="rId4"/>
    <sheet name="中村" sheetId="6" r:id="rId5"/>
    <sheet name="濱田" sheetId="7" r:id="rId6"/>
    <sheet name="原口" sheetId="8" r:id="rId7"/>
    <sheet name="内村" sheetId="9" r:id="rId8"/>
    <sheet name="半田久" sheetId="10" r:id="rId9"/>
    <sheet name="半田楓" sheetId="12" r:id="rId10"/>
    <sheet name="野村" sheetId="11" r:id="rId11"/>
    <sheet name="一之谷" sheetId="13" r:id="rId12"/>
  </sheets>
  <calcPr calcId="181029"/>
  <extLst>
    <ext uri="GoogleSheetsCustomDataVersion1">
      <go:sheetsCustomData xmlns:go="http://customooxmlschemas.google.com/" r:id="rId17" roundtripDataSignature="AMtx7mi8m6aLjNi6S3+0EzHCnaX8hoeasg=="/>
    </ext>
  </extLst>
</workbook>
</file>

<file path=xl/calcChain.xml><?xml version="1.0" encoding="utf-8"?>
<calcChain xmlns="http://schemas.openxmlformats.org/spreadsheetml/2006/main">
  <c r="G9" i="9" l="1"/>
  <c r="C59" i="2" l="1"/>
  <c r="L64" i="2"/>
  <c r="L18" i="13"/>
  <c r="H18" i="13"/>
  <c r="K13" i="13"/>
  <c r="J13" i="13"/>
  <c r="I13" i="13"/>
  <c r="H13" i="13"/>
  <c r="G13" i="13"/>
  <c r="F13" i="13"/>
  <c r="E13" i="13"/>
  <c r="C13" i="13"/>
  <c r="E8" i="13"/>
  <c r="C8" i="13"/>
  <c r="L40" i="12"/>
  <c r="H40" i="12"/>
  <c r="L42" i="12" s="1"/>
  <c r="E45" i="12" s="1"/>
  <c r="K35" i="12"/>
  <c r="J35" i="12"/>
  <c r="I35" i="12"/>
  <c r="H35" i="12"/>
  <c r="G35" i="12"/>
  <c r="F35" i="12"/>
  <c r="E35" i="12"/>
  <c r="C35" i="12"/>
  <c r="E30" i="12"/>
  <c r="C30" i="12"/>
  <c r="L37" i="12" s="1"/>
  <c r="L19" i="12"/>
  <c r="E22" i="12" s="1"/>
  <c r="L17" i="12"/>
  <c r="H17" i="12"/>
  <c r="L14" i="12"/>
  <c r="C22" i="12" s="1"/>
  <c r="K12" i="12"/>
  <c r="J12" i="12"/>
  <c r="I12" i="12"/>
  <c r="H12" i="12"/>
  <c r="G12" i="12"/>
  <c r="F12" i="12"/>
  <c r="E12" i="12"/>
  <c r="C12" i="12"/>
  <c r="E7" i="12"/>
  <c r="C7" i="12"/>
  <c r="L18" i="11"/>
  <c r="H18" i="11"/>
  <c r="K13" i="11"/>
  <c r="J13" i="11"/>
  <c r="I13" i="11"/>
  <c r="H13" i="11"/>
  <c r="G13" i="11"/>
  <c r="F13" i="11"/>
  <c r="E13" i="11"/>
  <c r="C13" i="11"/>
  <c r="E8" i="11"/>
  <c r="C8" i="11"/>
  <c r="L17" i="10"/>
  <c r="H17" i="10"/>
  <c r="L19" i="10" s="1"/>
  <c r="E22" i="10" s="1"/>
  <c r="K12" i="10"/>
  <c r="J12" i="10"/>
  <c r="I12" i="10"/>
  <c r="H12" i="10"/>
  <c r="G12" i="10"/>
  <c r="F12" i="10"/>
  <c r="E12" i="10"/>
  <c r="C12" i="10"/>
  <c r="E7" i="10"/>
  <c r="C7" i="10"/>
  <c r="L14" i="9"/>
  <c r="H14" i="9"/>
  <c r="L16" i="9" s="1"/>
  <c r="E19" i="9" s="1"/>
  <c r="K9" i="9"/>
  <c r="J9" i="9"/>
  <c r="I9" i="9"/>
  <c r="H9" i="9"/>
  <c r="L11" i="9" s="1"/>
  <c r="F9" i="9"/>
  <c r="E9" i="9"/>
  <c r="C9" i="9"/>
  <c r="L18" i="8"/>
  <c r="H18" i="8"/>
  <c r="L20" i="8" s="1"/>
  <c r="E23" i="8" s="1"/>
  <c r="K13" i="8"/>
  <c r="J13" i="8"/>
  <c r="I13" i="8"/>
  <c r="H13" i="8"/>
  <c r="G13" i="8"/>
  <c r="F13" i="8"/>
  <c r="E13" i="8"/>
  <c r="C13" i="8"/>
  <c r="E8" i="8"/>
  <c r="C8" i="8"/>
  <c r="L18" i="7"/>
  <c r="H18" i="7"/>
  <c r="L20" i="7" s="1"/>
  <c r="E23" i="7" s="1"/>
  <c r="K13" i="7"/>
  <c r="J13" i="7"/>
  <c r="I13" i="7"/>
  <c r="H13" i="7"/>
  <c r="G13" i="7"/>
  <c r="F13" i="7"/>
  <c r="E13" i="7"/>
  <c r="C13" i="7"/>
  <c r="E8" i="7"/>
  <c r="C8" i="7"/>
  <c r="L18" i="6"/>
  <c r="H18" i="6"/>
  <c r="L20" i="6" s="1"/>
  <c r="E23" i="6" s="1"/>
  <c r="K13" i="6"/>
  <c r="J13" i="6"/>
  <c r="I13" i="6"/>
  <c r="H13" i="6"/>
  <c r="G13" i="6"/>
  <c r="F13" i="6"/>
  <c r="E13" i="6"/>
  <c r="C13" i="6"/>
  <c r="E8" i="6"/>
  <c r="C8" i="6"/>
  <c r="L42" i="5"/>
  <c r="E45" i="5" s="1"/>
  <c r="L40" i="5"/>
  <c r="H40" i="5"/>
  <c r="K35" i="5"/>
  <c r="J35" i="5"/>
  <c r="I35" i="5"/>
  <c r="H35" i="5"/>
  <c r="G35" i="5"/>
  <c r="F35" i="5"/>
  <c r="E35" i="5"/>
  <c r="C35" i="5"/>
  <c r="L37" i="5" s="1"/>
  <c r="E30" i="5"/>
  <c r="C30" i="5"/>
  <c r="L17" i="5"/>
  <c r="H17" i="5"/>
  <c r="L19" i="5" s="1"/>
  <c r="E22" i="5" s="1"/>
  <c r="K12" i="5"/>
  <c r="J12" i="5"/>
  <c r="I12" i="5"/>
  <c r="H12" i="5"/>
  <c r="G12" i="5"/>
  <c r="F12" i="5"/>
  <c r="E12" i="5"/>
  <c r="C12" i="5"/>
  <c r="E7" i="5"/>
  <c r="C7" i="5"/>
  <c r="L14" i="5" s="1"/>
  <c r="E45" i="4"/>
  <c r="L42" i="4"/>
  <c r="L40" i="4"/>
  <c r="H40" i="4"/>
  <c r="K35" i="4"/>
  <c r="J35" i="4"/>
  <c r="I35" i="4"/>
  <c r="H35" i="4"/>
  <c r="G35" i="4"/>
  <c r="F35" i="4"/>
  <c r="E35" i="4"/>
  <c r="C35" i="4"/>
  <c r="E30" i="4"/>
  <c r="C30" i="4"/>
  <c r="L37" i="4" s="1"/>
  <c r="L17" i="4"/>
  <c r="H17" i="4"/>
  <c r="L19" i="4" s="1"/>
  <c r="E22" i="4" s="1"/>
  <c r="K12" i="4"/>
  <c r="J12" i="4"/>
  <c r="I12" i="4"/>
  <c r="H12" i="4"/>
  <c r="G12" i="4"/>
  <c r="F12" i="4"/>
  <c r="E12" i="4"/>
  <c r="C12" i="4"/>
  <c r="E7" i="4"/>
  <c r="C7" i="4"/>
  <c r="L14" i="4" s="1"/>
  <c r="L19" i="3"/>
  <c r="L21" i="3" s="1"/>
  <c r="E24" i="3" s="1"/>
  <c r="H19" i="3"/>
  <c r="K14" i="3"/>
  <c r="J14" i="3"/>
  <c r="I14" i="3"/>
  <c r="H14" i="3"/>
  <c r="G14" i="3"/>
  <c r="F14" i="3"/>
  <c r="E14" i="3"/>
  <c r="C14" i="3"/>
  <c r="E9" i="3"/>
  <c r="C9" i="3"/>
  <c r="H64" i="2"/>
  <c r="K59" i="2"/>
  <c r="J59" i="2"/>
  <c r="I59" i="2"/>
  <c r="H59" i="2"/>
  <c r="G59" i="2"/>
  <c r="F59" i="2"/>
  <c r="E59" i="2"/>
  <c r="E54" i="2"/>
  <c r="C54" i="2"/>
  <c r="H40" i="2"/>
  <c r="K35" i="2"/>
  <c r="J35" i="2"/>
  <c r="I35" i="2"/>
  <c r="H35" i="2"/>
  <c r="G35" i="2"/>
  <c r="F35" i="2"/>
  <c r="E35" i="2"/>
  <c r="C35" i="2"/>
  <c r="E30" i="2"/>
  <c r="C30" i="2"/>
  <c r="H17" i="2"/>
  <c r="K12" i="2"/>
  <c r="J12" i="2"/>
  <c r="I12" i="2"/>
  <c r="H12" i="2"/>
  <c r="G12" i="2"/>
  <c r="F12" i="2"/>
  <c r="E12" i="2"/>
  <c r="C12" i="2"/>
  <c r="E7" i="2"/>
  <c r="C7" i="2"/>
  <c r="L14" i="2" l="1"/>
  <c r="L37" i="2"/>
  <c r="L66" i="2"/>
  <c r="E69" i="2" s="1"/>
  <c r="L20" i="11"/>
  <c r="E23" i="11" s="1"/>
  <c r="L20" i="13"/>
  <c r="E23" i="13" s="1"/>
  <c r="L15" i="8"/>
  <c r="I18" i="8" s="1"/>
  <c r="L15" i="6"/>
  <c r="C23" i="6" s="1"/>
  <c r="L23" i="6" s="1"/>
  <c r="K23" i="6" s="1"/>
  <c r="C19" i="9"/>
  <c r="L19" i="9" s="1"/>
  <c r="K19" i="9" s="1"/>
  <c r="L15" i="11"/>
  <c r="C23" i="11" s="1"/>
  <c r="L23" i="11" s="1"/>
  <c r="K23" i="11" s="1"/>
  <c r="L15" i="13"/>
  <c r="C23" i="13" s="1"/>
  <c r="L23" i="13" s="1"/>
  <c r="K23" i="13" s="1"/>
  <c r="L14" i="10"/>
  <c r="I17" i="10" s="1"/>
  <c r="L15" i="7"/>
  <c r="I18" i="7" s="1"/>
  <c r="L16" i="3"/>
  <c r="C24" i="3" s="1"/>
  <c r="L24" i="3" s="1"/>
  <c r="K24" i="3" s="1"/>
  <c r="L61" i="2"/>
  <c r="I64" i="2" s="1"/>
  <c r="C45" i="12"/>
  <c r="L45" i="12" s="1"/>
  <c r="K45" i="12" s="1"/>
  <c r="I40" i="12"/>
  <c r="I40" i="4"/>
  <c r="C45" i="4"/>
  <c r="L45" i="4" s="1"/>
  <c r="K45" i="4" s="1"/>
  <c r="C22" i="4"/>
  <c r="L22" i="4" s="1"/>
  <c r="K22" i="4" s="1"/>
  <c r="I17" i="4"/>
  <c r="C45" i="5"/>
  <c r="L45" i="5" s="1"/>
  <c r="K45" i="5" s="1"/>
  <c r="I40" i="5"/>
  <c r="I17" i="2"/>
  <c r="J17" i="2" s="1"/>
  <c r="L17" i="2" s="1"/>
  <c r="L19" i="2" s="1"/>
  <c r="E22" i="2" s="1"/>
  <c r="C22" i="2"/>
  <c r="C45" i="2"/>
  <c r="I40" i="2"/>
  <c r="C22" i="5"/>
  <c r="L22" i="5" s="1"/>
  <c r="K22" i="5" s="1"/>
  <c r="I17" i="5"/>
  <c r="L22" i="12"/>
  <c r="K22" i="12" s="1"/>
  <c r="I17" i="12"/>
  <c r="L22" i="2" l="1"/>
  <c r="K22" i="2" s="1"/>
  <c r="L40" i="2"/>
  <c r="L42" i="2" s="1"/>
  <c r="E45" i="2" s="1"/>
  <c r="L45" i="2" s="1"/>
  <c r="K45" i="2" s="1"/>
  <c r="J40" i="2"/>
  <c r="C23" i="8"/>
  <c r="L23" i="8" s="1"/>
  <c r="K23" i="8" s="1"/>
  <c r="I18" i="6"/>
  <c r="I14" i="9"/>
  <c r="C23" i="7"/>
  <c r="L23" i="7" s="1"/>
  <c r="K23" i="7" s="1"/>
  <c r="I18" i="11"/>
  <c r="I18" i="13"/>
  <c r="C22" i="10"/>
  <c r="L22" i="10" s="1"/>
  <c r="K22" i="10" s="1"/>
  <c r="I19" i="3"/>
  <c r="C69" i="2"/>
  <c r="L69" i="2" s="1"/>
  <c r="K69" i="2" s="1"/>
</calcChain>
</file>

<file path=xl/sharedStrings.xml><?xml version="1.0" encoding="utf-8"?>
<sst xmlns="http://schemas.openxmlformats.org/spreadsheetml/2006/main" count="855" uniqueCount="176">
  <si>
    <t>年</t>
  </si>
  <si>
    <t>12月1日～12月31日勤務分</t>
  </si>
  <si>
    <t>給与支給明細書</t>
  </si>
  <si>
    <t>講師</t>
  </si>
  <si>
    <t>出勤日数</t>
  </si>
  <si>
    <t>氏　名</t>
  </si>
  <si>
    <t>殿</t>
  </si>
  <si>
    <t>支給項目一</t>
  </si>
  <si>
    <t>集団指導料</t>
  </si>
  <si>
    <t>支給項目二</t>
  </si>
  <si>
    <t>個別指導料（ｺﾏ）</t>
  </si>
  <si>
    <t>個別指導料（分）</t>
  </si>
  <si>
    <t>1:2手当</t>
  </si>
  <si>
    <t>受験生手当</t>
  </si>
  <si>
    <t>事務給与</t>
  </si>
  <si>
    <t>プログラム作成給</t>
  </si>
  <si>
    <t>待機給</t>
  </si>
  <si>
    <t>交通費</t>
  </si>
  <si>
    <t>1050×0</t>
  </si>
  <si>
    <t>350×0</t>
  </si>
  <si>
    <t>600×1</t>
  </si>
  <si>
    <t>総支給額</t>
  </si>
  <si>
    <t>1710（時間）×0</t>
  </si>
  <si>
    <t>175×0</t>
  </si>
  <si>
    <t>控除項目</t>
  </si>
  <si>
    <t>健康保険</t>
  </si>
  <si>
    <t>厚生年金保険</t>
  </si>
  <si>
    <t>雇用保険</t>
  </si>
  <si>
    <t>社会保険合計</t>
  </si>
  <si>
    <t>課税対象額</t>
  </si>
  <si>
    <t>所得税</t>
  </si>
  <si>
    <t>住民税</t>
  </si>
  <si>
    <t>税額合計</t>
  </si>
  <si>
    <t>総控除額</t>
  </si>
  <si>
    <t>集計</t>
  </si>
  <si>
    <t>振込支給額</t>
  </si>
  <si>
    <t>差引支給額</t>
  </si>
  <si>
    <t>1月1日～1月31日勤務分</t>
  </si>
  <si>
    <t>600×0</t>
  </si>
  <si>
    <t>500×0</t>
  </si>
  <si>
    <t>50（小6）×0</t>
  </si>
  <si>
    <t>100（高3）×0</t>
  </si>
  <si>
    <t>講師料明細書</t>
  </si>
  <si>
    <t>中紳一</t>
  </si>
  <si>
    <t>集団講師料1</t>
  </si>
  <si>
    <t>集団歩合手当</t>
  </si>
  <si>
    <t>2460（ｺﾏ）×14</t>
  </si>
  <si>
    <t>50（＋1名）×3</t>
  </si>
  <si>
    <t>1845（時間）×0</t>
  </si>
  <si>
    <t>個別講師料1</t>
  </si>
  <si>
    <t>個別講師料2</t>
  </si>
  <si>
    <t>事務手当</t>
  </si>
  <si>
    <t>プログラム作成料</t>
  </si>
  <si>
    <t>待機手当</t>
  </si>
  <si>
    <t>1960（ｺﾏ）×38</t>
  </si>
  <si>
    <t>245（10分）×0</t>
  </si>
  <si>
    <t>100×32</t>
  </si>
  <si>
    <t>1050×3</t>
  </si>
  <si>
    <t>1508×17</t>
  </si>
  <si>
    <t>1470（時間）×2</t>
  </si>
  <si>
    <t>500×19</t>
  </si>
  <si>
    <t>2460（ｺﾏ）×12</t>
  </si>
  <si>
    <t>1960（ｺﾏ）×42</t>
  </si>
  <si>
    <t>100×34</t>
  </si>
  <si>
    <t>1050×2</t>
  </si>
  <si>
    <t>1508×16</t>
  </si>
  <si>
    <t>12月1日～12月31日</t>
  </si>
  <si>
    <t>後藤克雄</t>
  </si>
  <si>
    <t>50（＋1名）×0</t>
  </si>
  <si>
    <t>1755（時間）×0</t>
  </si>
  <si>
    <t>受験生（小6）手当</t>
  </si>
  <si>
    <t>230（10分）×0</t>
  </si>
  <si>
    <t>1380（時間）×0</t>
  </si>
  <si>
    <t>1月1日～1月31日</t>
  </si>
  <si>
    <t>政谷知恵子</t>
  </si>
  <si>
    <t>勤怠項目</t>
  </si>
  <si>
    <t>2400（ｺﾏ）×0</t>
  </si>
  <si>
    <t>1800（時間）×0</t>
  </si>
  <si>
    <t>支給項目</t>
  </si>
  <si>
    <t>指導料(ｺﾏ給)</t>
  </si>
  <si>
    <t>指導料（分給）</t>
  </si>
  <si>
    <t>1840×0</t>
  </si>
  <si>
    <t>237（10分）×0</t>
  </si>
  <si>
    <t>100×2</t>
  </si>
  <si>
    <t>1424×1</t>
  </si>
  <si>
    <t>1900×2</t>
  </si>
  <si>
    <t>1425（60分）×0</t>
  </si>
  <si>
    <t>100（高3）×2</t>
  </si>
  <si>
    <t>綱嶋亨</t>
  </si>
  <si>
    <t>2700（ｺﾏ）×0</t>
  </si>
  <si>
    <t>2025（時間）×0</t>
  </si>
  <si>
    <t>2200（ｺﾏ）×4</t>
  </si>
  <si>
    <t>275（10分）×0</t>
  </si>
  <si>
    <t>100×4</t>
  </si>
  <si>
    <t>1050×4</t>
  </si>
  <si>
    <t>350×2</t>
  </si>
  <si>
    <t>0×0</t>
  </si>
  <si>
    <t>1650（時間）×0</t>
  </si>
  <si>
    <t>175×4</t>
  </si>
  <si>
    <t>2200（ｺﾏ）×6</t>
  </si>
  <si>
    <t>275（10分）×2</t>
  </si>
  <si>
    <t>213（10分）×0</t>
  </si>
  <si>
    <t>1278（時間）×0</t>
  </si>
  <si>
    <t>濱田旺次郎</t>
  </si>
  <si>
    <t>500×3</t>
  </si>
  <si>
    <t>原口詞之</t>
  </si>
  <si>
    <t>1680（時間）×0</t>
  </si>
  <si>
    <t>218（10分）×0</t>
  </si>
  <si>
    <t>1305（時間）×0</t>
  </si>
  <si>
    <t>内村優</t>
  </si>
  <si>
    <t>1620（時間）×0</t>
  </si>
  <si>
    <t>208（10分）×0</t>
  </si>
  <si>
    <t>50×0</t>
  </si>
  <si>
    <t>1245（時間）×0</t>
  </si>
  <si>
    <t>半田久瑠実</t>
  </si>
  <si>
    <t>1695（時間）×0</t>
  </si>
  <si>
    <t>220（10分）×0</t>
  </si>
  <si>
    <t>1320（60分）×0</t>
  </si>
  <si>
    <t>半田楓</t>
  </si>
  <si>
    <t>2280（ｺﾏ）×0</t>
  </si>
  <si>
    <t>受験生（小６）手当</t>
  </si>
  <si>
    <t>1780（ｺﾏ）×11</t>
  </si>
  <si>
    <t>223（10分）×0</t>
  </si>
  <si>
    <t>50×5</t>
  </si>
  <si>
    <t>50（小６）×0</t>
  </si>
  <si>
    <t>1338（時間）×0</t>
  </si>
  <si>
    <t>1780（ｺﾏ）×7</t>
  </si>
  <si>
    <t>2240（ｺﾏ）×0</t>
  </si>
  <si>
    <t>740×7</t>
  </si>
  <si>
    <t>1308（時間）×0</t>
  </si>
  <si>
    <t>4月1日～4月30日勤務分</t>
    <rPh sb="6" eb="7">
      <t>ガツ</t>
    </rPh>
    <phoneticPr fontId="17"/>
  </si>
  <si>
    <t>0（＋1名）×3</t>
    <phoneticPr fontId="17"/>
  </si>
  <si>
    <t>100（小6）×0</t>
    <phoneticPr fontId="17"/>
  </si>
  <si>
    <t>1150×0</t>
    <phoneticPr fontId="17"/>
  </si>
  <si>
    <t>1470（時間）×0</t>
    <phoneticPr fontId="17"/>
  </si>
  <si>
    <t>1150×3</t>
    <phoneticPr fontId="17"/>
  </si>
  <si>
    <t>4月1日～4月30日</t>
    <phoneticPr fontId="17"/>
  </si>
  <si>
    <t>0（＋1名）×0</t>
    <phoneticPr fontId="17"/>
  </si>
  <si>
    <t>0×1</t>
    <phoneticPr fontId="17"/>
  </si>
  <si>
    <t>副塾長手当</t>
    <rPh sb="0" eb="3">
      <t>フクジュクチョウ</t>
    </rPh>
    <rPh sb="3" eb="5">
      <t>テアテ</t>
    </rPh>
    <phoneticPr fontId="17"/>
  </si>
  <si>
    <t>600×50</t>
    <phoneticPr fontId="17"/>
  </si>
  <si>
    <t>2200（ｺﾏ）×74</t>
    <phoneticPr fontId="17"/>
  </si>
  <si>
    <t>2000（ｺﾏ）×44</t>
    <phoneticPr fontId="17"/>
  </si>
  <si>
    <t>1800×22</t>
    <phoneticPr fontId="17"/>
  </si>
  <si>
    <t>1275（時間）×0</t>
    <phoneticPr fontId="17"/>
  </si>
  <si>
    <t>1800（ｺﾏ）×0</t>
    <phoneticPr fontId="17"/>
  </si>
  <si>
    <t>1050×0</t>
    <phoneticPr fontId="17"/>
  </si>
  <si>
    <t>一之谷寛</t>
    <rPh sb="0" eb="3">
      <t>イチノタニ</t>
    </rPh>
    <rPh sb="3" eb="4">
      <t>ヒロシ</t>
    </rPh>
    <phoneticPr fontId="17"/>
  </si>
  <si>
    <t>1800（ｺﾏ）×12</t>
    <phoneticPr fontId="17"/>
  </si>
  <si>
    <t>200×18</t>
    <phoneticPr fontId="17"/>
  </si>
  <si>
    <t>4月1日～4月30日勤務分</t>
    <phoneticPr fontId="17"/>
  </si>
  <si>
    <t>野村泰平</t>
    <rPh sb="0" eb="2">
      <t>ノムラ</t>
    </rPh>
    <rPh sb="2" eb="4">
      <t>タイヘイ</t>
    </rPh>
    <phoneticPr fontId="17"/>
  </si>
  <si>
    <t>200×24</t>
    <phoneticPr fontId="17"/>
  </si>
  <si>
    <t>1800×19</t>
    <phoneticPr fontId="17"/>
  </si>
  <si>
    <t>100（高3）×0</t>
    <phoneticPr fontId="17"/>
  </si>
  <si>
    <t>200×2</t>
    <phoneticPr fontId="17"/>
  </si>
  <si>
    <t>1800×1</t>
    <phoneticPr fontId="17"/>
  </si>
  <si>
    <t>2000（ｺﾏ）×0</t>
    <phoneticPr fontId="17"/>
  </si>
  <si>
    <t>100×6</t>
    <phoneticPr fontId="17"/>
  </si>
  <si>
    <t>1523×16</t>
    <phoneticPr fontId="17"/>
  </si>
  <si>
    <t>2200（ｺﾏ）×0</t>
    <phoneticPr fontId="17"/>
  </si>
  <si>
    <t>1152×25</t>
    <phoneticPr fontId="17"/>
  </si>
  <si>
    <t>200×22</t>
    <phoneticPr fontId="17"/>
  </si>
  <si>
    <t>中村和人</t>
    <rPh sb="0" eb="2">
      <t>ナカムラ</t>
    </rPh>
    <rPh sb="2" eb="4">
      <t>カズト</t>
    </rPh>
    <phoneticPr fontId="17"/>
  </si>
  <si>
    <t>716×0</t>
    <phoneticPr fontId="17"/>
  </si>
  <si>
    <t>1850（ｺﾏ）×0</t>
    <phoneticPr fontId="17"/>
  </si>
  <si>
    <t>1850×17</t>
    <phoneticPr fontId="17"/>
  </si>
  <si>
    <t>100×14</t>
    <phoneticPr fontId="17"/>
  </si>
  <si>
    <t>1800×13</t>
    <phoneticPr fontId="17"/>
  </si>
  <si>
    <t>100×9</t>
    <phoneticPr fontId="17"/>
  </si>
  <si>
    <t>30000×1</t>
    <phoneticPr fontId="17"/>
  </si>
  <si>
    <t>5月1日～5月31日</t>
    <phoneticPr fontId="17"/>
  </si>
  <si>
    <t>200（小学生）×0</t>
    <rPh sb="4" eb="7">
      <t>ショウガクセイ</t>
    </rPh>
    <phoneticPr fontId="17"/>
  </si>
  <si>
    <t>200（高校生）×0</t>
    <rPh sb="4" eb="7">
      <t>コウコウセイ</t>
    </rPh>
    <phoneticPr fontId="17"/>
  </si>
  <si>
    <t>受験生高校生手当</t>
    <rPh sb="3" eb="6">
      <t>コウコウセイ</t>
    </rPh>
    <phoneticPr fontId="17"/>
  </si>
  <si>
    <t>1150×31.5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</si>
</sst>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9"/>
      <color theme="1"/>
      <name val="MS PGothic"/>
      <family val="2"/>
      <charset val="128"/>
    </font>
    <font>
      <sz val="12"/>
      <color theme="1"/>
      <name val="ＭＳ ゴシック"/>
      <family val="3"/>
      <charset val="128"/>
    </font>
    <font>
      <sz val="11"/>
      <name val="Calibri"/>
      <family val="2"/>
    </font>
    <font>
      <sz val="8"/>
      <color theme="1"/>
      <name val="ＭＳ ゴシック"/>
      <family val="3"/>
      <charset val="128"/>
    </font>
    <font>
      <sz val="15"/>
      <color theme="1"/>
      <name val="ＭＳ ゴシック"/>
      <family val="3"/>
      <charset val="128"/>
    </font>
    <font>
      <sz val="10"/>
      <color theme="1"/>
      <name val="MS PGothic"/>
      <family val="2"/>
      <charset val="128"/>
    </font>
    <font>
      <sz val="11"/>
      <color theme="1"/>
      <name val="游ゴシック"/>
    </font>
    <font>
      <sz val="8"/>
      <color rgb="FF3F3F3F"/>
      <name val="ＭＳ ゴシック"/>
      <family val="3"/>
      <charset val="128"/>
    </font>
    <font>
      <sz val="7"/>
      <color rgb="FF3F3F3F"/>
      <name val="ＭＳ ゴシック"/>
      <family val="3"/>
      <charset val="128"/>
    </font>
    <font>
      <sz val="7"/>
      <color theme="1"/>
      <name val="MS PGothic"/>
      <family val="2"/>
      <charset val="128"/>
    </font>
    <font>
      <sz val="9"/>
      <color theme="1"/>
      <name val="ＭＳ ゴシック"/>
      <family val="3"/>
      <charset val="128"/>
    </font>
    <font>
      <sz val="9"/>
      <color theme="0"/>
      <name val="MS PGothic"/>
      <family val="2"/>
      <charset val="128"/>
    </font>
    <font>
      <sz val="7"/>
      <color rgb="FF3F3F3F"/>
      <name val="MS PGothic"/>
      <family val="2"/>
      <charset val="128"/>
    </font>
    <font>
      <sz val="6"/>
      <color rgb="FF3F3F3F"/>
      <name val="MS PGothic"/>
      <family val="2"/>
      <charset val="128"/>
    </font>
    <font>
      <sz val="11"/>
      <color rgb="FF3F3F3F"/>
      <name val="MS PGothic"/>
      <family val="2"/>
      <charset val="128"/>
    </font>
    <font>
      <sz val="9"/>
      <color rgb="FF3F3F3F"/>
      <name val="ＭＳ ゴシック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38" fontId="13" fillId="0" borderId="18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7" fillId="0" borderId="0" xfId="0" applyFont="1" applyAlignment="1">
      <alignment vertical="center" textRotation="255"/>
    </xf>
    <xf numFmtId="0" fontId="13" fillId="0" borderId="2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38" fontId="13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textRotation="255" wrapText="1"/>
    </xf>
    <xf numFmtId="38" fontId="13" fillId="0" borderId="18" xfId="0" applyNumberFormat="1" applyFont="1" applyBorder="1" applyAlignment="1">
      <alignment vertical="center"/>
    </xf>
    <xf numFmtId="38" fontId="13" fillId="0" borderId="19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38" fontId="13" fillId="0" borderId="18" xfId="0" applyNumberFormat="1" applyFont="1" applyBorder="1" applyAlignment="1">
      <alignment vertical="center" shrinkToFit="1"/>
    </xf>
    <xf numFmtId="0" fontId="13" fillId="0" borderId="16" xfId="0" applyFont="1" applyBorder="1" applyAlignment="1">
      <alignment horizontal="center" vertical="center"/>
    </xf>
    <xf numFmtId="38" fontId="1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38" fontId="9" fillId="0" borderId="16" xfId="0" applyNumberFormat="1" applyFont="1" applyBorder="1" applyAlignment="1">
      <alignment horizontal="center" vertical="center"/>
    </xf>
    <xf numFmtId="38" fontId="13" fillId="0" borderId="16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12" fillId="2" borderId="10" xfId="0" applyFont="1" applyFill="1" applyBorder="1" applyAlignment="1">
      <alignment horizontal="center" vertical="center" textRotation="255" wrapText="1"/>
    </xf>
    <xf numFmtId="0" fontId="3" fillId="0" borderId="15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2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2" fillId="2" borderId="10" xfId="0" applyFont="1" applyFill="1" applyBorder="1" applyAlignment="1">
      <alignment horizontal="center" vertical="center" textRotation="255" shrinkToFit="1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1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0.xml"/><Relationship Id="rId5" Type="http://schemas.openxmlformats.org/officeDocument/2006/relationships/worksheet" Target="worksheets/sheet5.xml"/><Relationship Id="rId23" Type="http://schemas.microsoft.com/office/2017/10/relationships/person" Target="persons/pers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0</xdr:row>
      <xdr:rowOff>0</xdr:rowOff>
    </xdr:from>
    <xdr:ext cx="2324100" cy="8001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188713" y="3384713"/>
          <a:ext cx="2314575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8</xdr:col>
      <xdr:colOff>47625</xdr:colOff>
      <xdr:row>23</xdr:row>
      <xdr:rowOff>0</xdr:rowOff>
    </xdr:from>
    <xdr:ext cx="2324100" cy="800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188713" y="3384713"/>
          <a:ext cx="2314575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19050</xdr:rowOff>
    </xdr:from>
    <xdr:ext cx="2257425" cy="8001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t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23</xdr:row>
      <xdr:rowOff>19050</xdr:rowOff>
    </xdr:from>
    <xdr:ext cx="2257425" cy="8001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t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19050</xdr:rowOff>
    </xdr:from>
    <xdr:ext cx="2257425" cy="8001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23</xdr:row>
      <xdr:rowOff>19050</xdr:rowOff>
    </xdr:from>
    <xdr:ext cx="2257425" cy="8001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95250</xdr:rowOff>
    </xdr:from>
    <xdr:ext cx="2257425" cy="9620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4757738" y="95250"/>
          <a:ext cx="2257425" cy="96202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ctr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66675</xdr:rowOff>
    </xdr:from>
    <xdr:ext cx="2257425" cy="9906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757738" y="6667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76200</xdr:rowOff>
    </xdr:from>
    <xdr:ext cx="2257425" cy="981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4757738" y="76200"/>
          <a:ext cx="2257425" cy="9810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80963</xdr:rowOff>
    </xdr:from>
    <xdr:ext cx="2257425" cy="976312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757738" y="80963"/>
          <a:ext cx="2257425" cy="9763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19049</xdr:rowOff>
    </xdr:from>
    <xdr:ext cx="2257425" cy="900113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757738" y="19049"/>
          <a:ext cx="2257425" cy="900113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0</xdr:row>
      <xdr:rowOff>9525</xdr:rowOff>
    </xdr:from>
    <xdr:ext cx="2257425" cy="8001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485775</xdr:colOff>
      <xdr:row>23</xdr:row>
      <xdr:rowOff>9525</xdr:rowOff>
    </xdr:from>
    <xdr:ext cx="2257425" cy="8001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428625</xdr:colOff>
      <xdr:row>0</xdr:row>
      <xdr:rowOff>95250</xdr:rowOff>
    </xdr:from>
    <xdr:ext cx="2257425" cy="9525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4795838" y="95250"/>
          <a:ext cx="2257425" cy="9525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47625</xdr:rowOff>
    </xdr:from>
    <xdr:ext cx="2257425" cy="9906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757738" y="4762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A46" workbookViewId="0">
      <selection activeCell="G58" sqref="G58"/>
    </sheetView>
  </sheetViews>
  <sheetFormatPr defaultColWidth="14.3984375" defaultRowHeight="15" customHeight="1"/>
  <cols>
    <col min="1" max="26" width="8.73046875" customWidth="1"/>
  </cols>
  <sheetData>
    <row r="1" spans="1:12" ht="18" hidden="1" customHeight="1">
      <c r="A1" s="60">
        <v>2022</v>
      </c>
      <c r="B1" s="54"/>
      <c r="C1" s="2" t="s">
        <v>0</v>
      </c>
      <c r="D1" s="3"/>
      <c r="E1" s="3" t="s">
        <v>1</v>
      </c>
    </row>
    <row r="2" spans="1:12" ht="18" hidden="1" customHeight="1">
      <c r="B2" s="50" t="s">
        <v>42</v>
      </c>
      <c r="C2" s="51"/>
      <c r="D2" s="51"/>
      <c r="E2" s="51"/>
      <c r="F2" s="52"/>
      <c r="H2" s="4"/>
      <c r="I2" s="5"/>
      <c r="J2" s="6"/>
    </row>
    <row r="3" spans="1:12" ht="18" hidden="1" customHeight="1">
      <c r="B3" s="53"/>
      <c r="C3" s="54"/>
      <c r="D3" s="55" t="s">
        <v>3</v>
      </c>
      <c r="E3" s="54"/>
      <c r="F3" s="7"/>
      <c r="G3" s="8" t="s">
        <v>4</v>
      </c>
      <c r="H3" s="9"/>
    </row>
    <row r="4" spans="1:12" ht="18" hidden="1" customHeight="1">
      <c r="B4" s="64" t="s">
        <v>5</v>
      </c>
      <c r="C4" s="63"/>
      <c r="D4" s="62" t="s">
        <v>43</v>
      </c>
      <c r="E4" s="63"/>
      <c r="F4" s="10" t="s">
        <v>6</v>
      </c>
      <c r="G4" s="11">
        <v>17</v>
      </c>
      <c r="J4" s="12"/>
    </row>
    <row r="5" spans="1:12" ht="1.5" hidden="1" customHeight="1">
      <c r="B5" s="13"/>
      <c r="J5" s="12"/>
    </row>
    <row r="6" spans="1:12" ht="12" hidden="1" customHeight="1">
      <c r="B6" s="61" t="s">
        <v>7</v>
      </c>
      <c r="C6" s="46" t="s">
        <v>44</v>
      </c>
      <c r="D6" s="47"/>
      <c r="E6" s="14" t="s">
        <v>45</v>
      </c>
      <c r="F6" s="29"/>
      <c r="G6" s="29"/>
      <c r="H6" s="15"/>
      <c r="I6" s="14"/>
      <c r="J6" s="15"/>
      <c r="K6" s="14"/>
      <c r="L6" s="16"/>
    </row>
    <row r="7" spans="1:12" ht="12" hidden="1" customHeight="1">
      <c r="B7" s="57"/>
      <c r="C7" s="48">
        <f>LEFT(C8,FIND("（ｺﾏ）×",C8)-1)*RIGHT(C8,LEN(C8)-FIND("×",C8))+IF(C9&lt;&gt;"",LEFT(C9,FIND("（時間）×",C9)-1)*RIGHT(C9,LEN(C9)-FIND("×",C9)),0)</f>
        <v>34440</v>
      </c>
      <c r="D7" s="45"/>
      <c r="E7" s="17">
        <f>LEFT(E8,FIND("（＋1名）×",E8)-1)*RIGHT(E8,LEN(E8)-FIND("×",E8))</f>
        <v>150</v>
      </c>
      <c r="F7" s="17"/>
      <c r="G7" s="17"/>
      <c r="H7" s="20"/>
      <c r="I7" s="19"/>
      <c r="J7" s="20"/>
      <c r="K7" s="19"/>
      <c r="L7" s="21"/>
    </row>
    <row r="8" spans="1:12" ht="12" hidden="1" customHeight="1">
      <c r="B8" s="57"/>
      <c r="C8" s="46" t="s">
        <v>46</v>
      </c>
      <c r="D8" s="47"/>
      <c r="E8" s="22" t="s">
        <v>47</v>
      </c>
      <c r="F8" s="22"/>
      <c r="G8" s="22"/>
      <c r="H8" s="15"/>
      <c r="I8" s="14"/>
      <c r="J8" s="15"/>
      <c r="K8" s="14"/>
      <c r="L8" s="16"/>
    </row>
    <row r="9" spans="1:12" ht="12" hidden="1" customHeight="1">
      <c r="B9" s="58"/>
      <c r="C9" s="66" t="s">
        <v>48</v>
      </c>
      <c r="D9" s="45"/>
      <c r="E9" s="25"/>
      <c r="F9" s="21"/>
      <c r="G9" s="21"/>
      <c r="H9" s="20"/>
      <c r="I9" s="19"/>
      <c r="J9" s="20"/>
      <c r="K9" s="19"/>
      <c r="L9" s="21"/>
    </row>
    <row r="10" spans="1:12" ht="1.5" hidden="1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hidden="1" customHeight="1">
      <c r="A11" s="28"/>
      <c r="B11" s="61" t="s">
        <v>9</v>
      </c>
      <c r="C11" s="67" t="s">
        <v>49</v>
      </c>
      <c r="D11" s="47"/>
      <c r="E11" s="29" t="s">
        <v>50</v>
      </c>
      <c r="F11" s="15" t="s">
        <v>12</v>
      </c>
      <c r="G11" s="30" t="s">
        <v>13</v>
      </c>
      <c r="H11" s="15" t="s">
        <v>51</v>
      </c>
      <c r="I11" s="14" t="s">
        <v>52</v>
      </c>
      <c r="J11" s="14" t="s">
        <v>53</v>
      </c>
      <c r="K11" s="14" t="s">
        <v>17</v>
      </c>
      <c r="L11" s="16"/>
    </row>
    <row r="12" spans="1:12" ht="12" hidden="1" customHeight="1">
      <c r="B12" s="57"/>
      <c r="C12" s="48">
        <f>LEFT(C13,FIND("（ｺﾏ）×",C13)-1)*RIGHT(C13,LEN(C13)-FIND("×",C13))+IF(C14&lt;&gt;"",LEFT(C14,FIND("×",C14)-1)*RIGHT(C14,LEN(C14)-FIND("×",C14)),0)</f>
        <v>74480</v>
      </c>
      <c r="D12" s="45"/>
      <c r="E12" s="17">
        <f>LEFT(E13,FIND("（10分）×",E13)-1)*RIGHT(E13,LEN(E13)-FIND("×",E13))+LEFT(E14,FIND("（時間）×",E14)-1)*RIGHT(E14,LEN(E14)-FIND("×",E14))</f>
        <v>2940</v>
      </c>
      <c r="F12" s="17">
        <f>LEFT(F13,FIND("×",F13)-1)*RIGHT(F13,LEN(F13)-FIND("×",F13))+IF(F14&lt;&gt;"",LEFT(F14,FIND("×",F14)-1)*RIGHT(F14,LEN(F14)-FIND("×",F14)),0)</f>
        <v>3200</v>
      </c>
      <c r="G12" s="17">
        <f>LEFT(G13,FIND("（小6）×",G13)-1)*RIGHT(G13,LEN(G13)-FIND("×",G13))+LEFT(G14,FIND("（高3）×",G14)-1)*RIGHT(G14,LEN(G14)-FIND("×",G14))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3150</v>
      </c>
      <c r="I12" s="17">
        <f t="shared" si="0"/>
        <v>9500</v>
      </c>
      <c r="J12" s="17">
        <f t="shared" si="0"/>
        <v>0</v>
      </c>
      <c r="K12" s="17">
        <f t="shared" si="0"/>
        <v>25636</v>
      </c>
      <c r="L12" s="38"/>
    </row>
    <row r="13" spans="1:12" ht="12" hidden="1" customHeight="1">
      <c r="B13" s="57"/>
      <c r="C13" s="46" t="s">
        <v>54</v>
      </c>
      <c r="D13" s="47"/>
      <c r="E13" s="22" t="s">
        <v>55</v>
      </c>
      <c r="F13" s="31" t="s">
        <v>56</v>
      </c>
      <c r="G13" s="32" t="s">
        <v>40</v>
      </c>
      <c r="H13" s="31" t="s">
        <v>57</v>
      </c>
      <c r="I13" s="33" t="s">
        <v>19</v>
      </c>
      <c r="J13" s="31" t="s">
        <v>38</v>
      </c>
      <c r="K13" s="33" t="s">
        <v>58</v>
      </c>
      <c r="L13" s="34" t="s">
        <v>21</v>
      </c>
    </row>
    <row r="14" spans="1:12" ht="12" hidden="1" customHeight="1">
      <c r="B14" s="58"/>
      <c r="C14" s="65"/>
      <c r="D14" s="45"/>
      <c r="E14" s="24" t="s">
        <v>59</v>
      </c>
      <c r="F14" s="35"/>
      <c r="G14" s="25" t="s">
        <v>41</v>
      </c>
      <c r="H14" s="35" t="s">
        <v>23</v>
      </c>
      <c r="I14" s="25" t="s">
        <v>60</v>
      </c>
      <c r="J14" s="35"/>
      <c r="K14" s="25"/>
      <c r="L14" s="36">
        <f>SUM(C12:L12)+C7+E7+F7+G7</f>
        <v>153496</v>
      </c>
    </row>
    <row r="15" spans="1:12" ht="1.5" hidden="1" customHeight="1">
      <c r="B15" s="37"/>
      <c r="C15" s="18"/>
      <c r="D15" s="18"/>
      <c r="E15" s="18"/>
      <c r="F15" s="18"/>
      <c r="G15" s="18"/>
      <c r="H15" s="18"/>
      <c r="I15" s="33"/>
      <c r="J15" s="18"/>
      <c r="K15" s="18"/>
      <c r="L15" s="18"/>
    </row>
    <row r="16" spans="1:12" ht="12" hidden="1" customHeight="1">
      <c r="B16" s="56" t="s">
        <v>24</v>
      </c>
      <c r="C16" s="46" t="s">
        <v>25</v>
      </c>
      <c r="D16" s="47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hidden="1" customHeight="1">
      <c r="B17" s="57"/>
      <c r="C17" s="44">
        <v>0</v>
      </c>
      <c r="D17" s="45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127860</v>
      </c>
      <c r="J17" s="39">
        <f>SUM(I17)*10.21%</f>
        <v>13054.506000000001</v>
      </c>
      <c r="K17" s="38">
        <v>0</v>
      </c>
      <c r="L17" s="36">
        <f>SUM(J17:K17)</f>
        <v>13054.506000000001</v>
      </c>
    </row>
    <row r="18" spans="1:12" ht="12" hidden="1" customHeight="1">
      <c r="B18" s="57"/>
      <c r="C18" s="46"/>
      <c r="D18" s="47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hidden="1" customHeight="1">
      <c r="B19" s="58"/>
      <c r="C19" s="48"/>
      <c r="D19" s="45"/>
      <c r="E19" s="38"/>
      <c r="F19" s="39"/>
      <c r="G19" s="38"/>
      <c r="H19" s="39"/>
      <c r="I19" s="38"/>
      <c r="J19" s="39"/>
      <c r="K19" s="38"/>
      <c r="L19" s="36">
        <f>H17+L17</f>
        <v>13054.506000000001</v>
      </c>
    </row>
    <row r="20" spans="1:12" ht="1.5" hidden="1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hidden="1" customHeight="1">
      <c r="B21" s="59" t="s">
        <v>34</v>
      </c>
      <c r="C21" s="46" t="s">
        <v>21</v>
      </c>
      <c r="D21" s="47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hidden="1" customHeight="1">
      <c r="B22" s="58"/>
      <c r="C22" s="49">
        <f>L14</f>
        <v>153496</v>
      </c>
      <c r="D22" s="45"/>
      <c r="E22" s="38">
        <f>L19</f>
        <v>13054.506000000001</v>
      </c>
      <c r="F22" s="39"/>
      <c r="G22" s="38"/>
      <c r="H22" s="39"/>
      <c r="I22" s="38"/>
      <c r="J22" s="39"/>
      <c r="K22" s="38">
        <f>L22-J22</f>
        <v>140441.49400000001</v>
      </c>
      <c r="L22" s="36">
        <f>C22-E22</f>
        <v>140441.49400000001</v>
      </c>
    </row>
    <row r="23" spans="1:12" ht="18.75" hidden="1" customHeight="1"/>
    <row r="24" spans="1:12" ht="18" hidden="1" customHeight="1">
      <c r="A24" s="60">
        <v>2023</v>
      </c>
      <c r="B24" s="54"/>
      <c r="C24" s="2" t="s">
        <v>0</v>
      </c>
      <c r="D24" s="3"/>
      <c r="E24" s="3" t="s">
        <v>37</v>
      </c>
    </row>
    <row r="25" spans="1:12" ht="18" hidden="1" customHeight="1">
      <c r="B25" s="50" t="s">
        <v>42</v>
      </c>
      <c r="C25" s="51"/>
      <c r="D25" s="51"/>
      <c r="E25" s="51"/>
      <c r="F25" s="52"/>
      <c r="H25" s="4"/>
      <c r="I25" s="5"/>
      <c r="J25" s="6"/>
    </row>
    <row r="26" spans="1:12" ht="18" hidden="1" customHeight="1">
      <c r="B26" s="53"/>
      <c r="C26" s="54"/>
      <c r="D26" s="55" t="s">
        <v>3</v>
      </c>
      <c r="E26" s="54"/>
      <c r="F26" s="7"/>
      <c r="G26" s="8" t="s">
        <v>4</v>
      </c>
      <c r="H26" s="9"/>
    </row>
    <row r="27" spans="1:12" ht="18" hidden="1" customHeight="1">
      <c r="B27" s="64" t="s">
        <v>5</v>
      </c>
      <c r="C27" s="63"/>
      <c r="D27" s="62" t="s">
        <v>43</v>
      </c>
      <c r="E27" s="63"/>
      <c r="F27" s="10" t="s">
        <v>6</v>
      </c>
      <c r="G27" s="11">
        <v>16</v>
      </c>
      <c r="J27" s="12"/>
    </row>
    <row r="28" spans="1:12" ht="1.5" hidden="1" customHeight="1">
      <c r="B28" s="13"/>
      <c r="J28" s="12"/>
    </row>
    <row r="29" spans="1:12" ht="12" hidden="1" customHeight="1">
      <c r="B29" s="61" t="s">
        <v>7</v>
      </c>
      <c r="C29" s="46" t="s">
        <v>44</v>
      </c>
      <c r="D29" s="47"/>
      <c r="E29" s="14" t="s">
        <v>45</v>
      </c>
      <c r="F29" s="29"/>
      <c r="G29" s="29"/>
      <c r="H29" s="15"/>
      <c r="I29" s="14"/>
      <c r="J29" s="15"/>
      <c r="K29" s="14"/>
      <c r="L29" s="16"/>
    </row>
    <row r="30" spans="1:12" ht="12" hidden="1" customHeight="1">
      <c r="B30" s="57"/>
      <c r="C30" s="48">
        <f>LEFT(C31,FIND("（ｺﾏ）×",C31)-1)*RIGHT(C31,LEN(C31)-FIND("×",C31))+IF(C32&lt;&gt;"",LEFT(C32,FIND("（時間）×",C32)-1)*RIGHT(C32,LEN(C32)-FIND("×",C32)),0)</f>
        <v>29520</v>
      </c>
      <c r="D30" s="45"/>
      <c r="E30" s="17">
        <f>LEFT(E31,FIND("（＋1名）×",E31)-1)*RIGHT(E31,LEN(E31)-FIND("×",E31))</f>
        <v>150</v>
      </c>
      <c r="F30" s="17"/>
      <c r="G30" s="17"/>
      <c r="H30" s="20"/>
      <c r="I30" s="19"/>
      <c r="J30" s="20"/>
      <c r="K30" s="19"/>
      <c r="L30" s="21"/>
    </row>
    <row r="31" spans="1:12" ht="12" hidden="1" customHeight="1">
      <c r="B31" s="57"/>
      <c r="C31" s="46" t="s">
        <v>61</v>
      </c>
      <c r="D31" s="47"/>
      <c r="E31" s="22" t="s">
        <v>47</v>
      </c>
      <c r="F31" s="22"/>
      <c r="G31" s="22"/>
      <c r="H31" s="15"/>
      <c r="I31" s="14"/>
      <c r="J31" s="15"/>
      <c r="K31" s="14"/>
      <c r="L31" s="16"/>
    </row>
    <row r="32" spans="1:12" ht="12" hidden="1" customHeight="1">
      <c r="B32" s="58"/>
      <c r="C32" s="66" t="s">
        <v>48</v>
      </c>
      <c r="D32" s="45"/>
      <c r="E32" s="25"/>
      <c r="F32" s="21"/>
      <c r="G32" s="21"/>
      <c r="H32" s="20"/>
      <c r="I32" s="19"/>
      <c r="J32" s="20"/>
      <c r="K32" s="19"/>
      <c r="L32" s="21"/>
    </row>
    <row r="33" spans="1:12" ht="1.5" hidden="1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hidden="1" customHeight="1">
      <c r="A34" s="28"/>
      <c r="B34" s="61" t="s">
        <v>9</v>
      </c>
      <c r="C34" s="67" t="s">
        <v>49</v>
      </c>
      <c r="D34" s="47"/>
      <c r="E34" s="29" t="s">
        <v>50</v>
      </c>
      <c r="F34" s="15" t="s">
        <v>12</v>
      </c>
      <c r="G34" s="30" t="s">
        <v>13</v>
      </c>
      <c r="H34" s="15" t="s">
        <v>51</v>
      </c>
      <c r="I34" s="14" t="s">
        <v>52</v>
      </c>
      <c r="J34" s="14" t="s">
        <v>53</v>
      </c>
      <c r="K34" s="14" t="s">
        <v>17</v>
      </c>
      <c r="L34" s="16"/>
    </row>
    <row r="35" spans="1:12" ht="12" hidden="1" customHeight="1">
      <c r="B35" s="57"/>
      <c r="C35" s="48">
        <f>LEFT(C36,FIND("（ｺﾏ）×",C36)-1)*RIGHT(C36,LEN(C36)-FIND("×",C36))+IF(C37&lt;&gt;"",LEFT(C37,FIND("×",C37)-1)*RIGHT(C37,LEN(C37)-FIND("×",C37)),0)</f>
        <v>82320</v>
      </c>
      <c r="D35" s="45"/>
      <c r="E35" s="17">
        <f>LEFT(E36,FIND("（10分）×",E36)-1)*RIGHT(E36,LEN(E36)-FIND("×",E36))+LEFT(E37,FIND("（時間）×",E37)-1)*RIGHT(E37,LEN(E37)-FIND("×",E37))</f>
        <v>2940</v>
      </c>
      <c r="F35" s="17">
        <f>LEFT(F36,FIND("×",F36)-1)*RIGHT(F36,LEN(F36)-FIND("×",F36))+IF(F37&lt;&gt;"",LEFT(F37,FIND("×",F37)-1)*RIGHT(F37,LEN(F37)-FIND("×",F37)),0)</f>
        <v>3400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2100</v>
      </c>
      <c r="I35" s="17">
        <f t="shared" si="1"/>
        <v>0</v>
      </c>
      <c r="J35" s="17">
        <f t="shared" si="1"/>
        <v>0</v>
      </c>
      <c r="K35" s="17">
        <f t="shared" si="1"/>
        <v>24128</v>
      </c>
      <c r="L35" s="38"/>
    </row>
    <row r="36" spans="1:12" ht="12" hidden="1" customHeight="1">
      <c r="B36" s="57"/>
      <c r="C36" s="46" t="s">
        <v>62</v>
      </c>
      <c r="D36" s="47"/>
      <c r="E36" s="22" t="s">
        <v>55</v>
      </c>
      <c r="F36" s="31" t="s">
        <v>63</v>
      </c>
      <c r="G36" s="32" t="s">
        <v>40</v>
      </c>
      <c r="H36" s="31" t="s">
        <v>64</v>
      </c>
      <c r="I36" s="33" t="s">
        <v>19</v>
      </c>
      <c r="J36" s="31" t="s">
        <v>38</v>
      </c>
      <c r="K36" s="33" t="s">
        <v>65</v>
      </c>
      <c r="L36" s="34" t="s">
        <v>21</v>
      </c>
    </row>
    <row r="37" spans="1:12" ht="12" hidden="1" customHeight="1">
      <c r="B37" s="58"/>
      <c r="C37" s="65"/>
      <c r="D37" s="45"/>
      <c r="E37" s="24" t="s">
        <v>59</v>
      </c>
      <c r="F37" s="35"/>
      <c r="G37" s="25" t="s">
        <v>41</v>
      </c>
      <c r="H37" s="35" t="s">
        <v>23</v>
      </c>
      <c r="I37" s="25" t="s">
        <v>39</v>
      </c>
      <c r="J37" s="35"/>
      <c r="K37" s="25"/>
      <c r="L37" s="36">
        <f>SUM(C35:L35)+C30+E30+F30+G30</f>
        <v>144558</v>
      </c>
    </row>
    <row r="38" spans="1:12" ht="1.5" hidden="1" customHeight="1">
      <c r="B38" s="37"/>
      <c r="C38" s="18"/>
      <c r="D38" s="18"/>
      <c r="E38" s="18"/>
      <c r="F38" s="18"/>
      <c r="G38" s="18"/>
      <c r="H38" s="18"/>
      <c r="I38" s="33"/>
      <c r="J38" s="18"/>
      <c r="K38" s="18"/>
      <c r="L38" s="18"/>
    </row>
    <row r="39" spans="1:12" ht="12" hidden="1" customHeight="1">
      <c r="B39" s="56" t="s">
        <v>24</v>
      </c>
      <c r="C39" s="46" t="s">
        <v>25</v>
      </c>
      <c r="D39" s="47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hidden="1" customHeight="1">
      <c r="B40" s="57"/>
      <c r="C40" s="44">
        <v>0</v>
      </c>
      <c r="D40" s="45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120430</v>
      </c>
      <c r="J40" s="39">
        <f>SUM(I40)*10.21%</f>
        <v>12295.903000000002</v>
      </c>
      <c r="K40" s="38">
        <v>0</v>
      </c>
      <c r="L40" s="36">
        <f>SUM(J40:K40)</f>
        <v>12295.903000000002</v>
      </c>
    </row>
    <row r="41" spans="1:12" ht="12" hidden="1" customHeight="1">
      <c r="B41" s="57"/>
      <c r="C41" s="46"/>
      <c r="D41" s="47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hidden="1" customHeight="1">
      <c r="B42" s="58"/>
      <c r="C42" s="48"/>
      <c r="D42" s="45"/>
      <c r="E42" s="38"/>
      <c r="F42" s="39"/>
      <c r="G42" s="38"/>
      <c r="H42" s="39"/>
      <c r="I42" s="38"/>
      <c r="J42" s="39"/>
      <c r="K42" s="38"/>
      <c r="L42" s="36">
        <f>H40+L40</f>
        <v>12295.903000000002</v>
      </c>
    </row>
    <row r="43" spans="1:12" ht="1.5" hidden="1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hidden="1" customHeight="1">
      <c r="B44" s="59" t="s">
        <v>34</v>
      </c>
      <c r="C44" s="46" t="s">
        <v>21</v>
      </c>
      <c r="D44" s="47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hidden="1" customHeight="1">
      <c r="B45" s="58"/>
      <c r="C45" s="49">
        <f>L37</f>
        <v>144558</v>
      </c>
      <c r="D45" s="45"/>
      <c r="E45" s="38">
        <f>L42</f>
        <v>12295.903000000002</v>
      </c>
      <c r="F45" s="39"/>
      <c r="G45" s="38"/>
      <c r="H45" s="39"/>
      <c r="I45" s="38"/>
      <c r="J45" s="39"/>
      <c r="K45" s="38">
        <f>L45-J45</f>
        <v>132262.09700000001</v>
      </c>
      <c r="L45" s="36">
        <f>C45-E45</f>
        <v>132262.09700000001</v>
      </c>
    </row>
    <row r="46" spans="1:12" ht="18.75" customHeight="1"/>
    <row r="47" spans="1:12" ht="18.75" customHeight="1"/>
    <row r="48" spans="1:12" ht="18.75" customHeight="1">
      <c r="A48" s="60">
        <v>2023</v>
      </c>
      <c r="B48" s="54"/>
      <c r="C48" s="2" t="s">
        <v>0</v>
      </c>
      <c r="D48" s="3"/>
      <c r="E48" s="3" t="s">
        <v>130</v>
      </c>
    </row>
    <row r="49" spans="1:12" ht="18.75" customHeight="1">
      <c r="B49" s="50" t="s">
        <v>42</v>
      </c>
      <c r="C49" s="51"/>
      <c r="D49" s="51"/>
      <c r="E49" s="51"/>
      <c r="F49" s="52"/>
      <c r="H49" s="4"/>
      <c r="I49" s="5"/>
      <c r="J49" s="6"/>
    </row>
    <row r="50" spans="1:12" ht="18.75" customHeight="1">
      <c r="B50" s="53"/>
      <c r="C50" s="54"/>
      <c r="D50" s="55" t="s">
        <v>3</v>
      </c>
      <c r="E50" s="54"/>
      <c r="F50" s="7"/>
      <c r="G50" s="8" t="s">
        <v>4</v>
      </c>
      <c r="H50" s="9"/>
    </row>
    <row r="51" spans="1:12" ht="18.75" customHeight="1">
      <c r="B51" s="64" t="s">
        <v>5</v>
      </c>
      <c r="C51" s="63"/>
      <c r="D51" s="62" t="s">
        <v>43</v>
      </c>
      <c r="E51" s="63"/>
      <c r="F51" s="10" t="s">
        <v>6</v>
      </c>
      <c r="G51" s="11">
        <v>16</v>
      </c>
      <c r="J51" s="12"/>
    </row>
    <row r="52" spans="1:12" ht="18.75" customHeight="1">
      <c r="B52" s="13"/>
      <c r="J52" s="12"/>
    </row>
    <row r="53" spans="1:12" ht="18.75" customHeight="1">
      <c r="B53" s="61" t="s">
        <v>7</v>
      </c>
      <c r="C53" s="46" t="s">
        <v>44</v>
      </c>
      <c r="D53" s="47"/>
      <c r="E53" s="14" t="s">
        <v>45</v>
      </c>
      <c r="F53" s="29"/>
      <c r="G53" s="29"/>
      <c r="H53" s="15"/>
      <c r="I53" s="14"/>
      <c r="J53" s="15"/>
      <c r="K53" s="14"/>
      <c r="L53" s="16"/>
    </row>
    <row r="54" spans="1:12" ht="18.75" customHeight="1">
      <c r="B54" s="57"/>
      <c r="C54" s="48">
        <f>LEFT(C55,FIND("（ｺﾏ）×",C55)-1)*RIGHT(C55,LEN(C55)-FIND("×",C55))+IF(C56&lt;&gt;"",LEFT(C56,FIND("（時間）×",C56)-1)*RIGHT(C56,LEN(C56)-FIND("×",C56)),0)</f>
        <v>0</v>
      </c>
      <c r="D54" s="45"/>
      <c r="E54" s="17">
        <f>LEFT(E55,FIND("（＋1名）×",E55)-1)*RIGHT(E55,LEN(E55)-FIND("×",E55))</f>
        <v>0</v>
      </c>
      <c r="F54" s="17"/>
      <c r="G54" s="17"/>
      <c r="H54" s="20"/>
      <c r="I54" s="19"/>
      <c r="J54" s="20"/>
      <c r="K54" s="19"/>
      <c r="L54" s="21"/>
    </row>
    <row r="55" spans="1:12" ht="18.75" customHeight="1">
      <c r="B55" s="57"/>
      <c r="C55" s="46" t="s">
        <v>157</v>
      </c>
      <c r="D55" s="47"/>
      <c r="E55" s="22" t="s">
        <v>131</v>
      </c>
      <c r="F55" s="22"/>
      <c r="G55" s="22"/>
      <c r="H55" s="15"/>
      <c r="I55" s="14"/>
      <c r="J55" s="15"/>
      <c r="K55" s="14"/>
      <c r="L55" s="16"/>
    </row>
    <row r="56" spans="1:12" ht="18.75" customHeight="1">
      <c r="B56" s="58"/>
      <c r="C56" s="66" t="s">
        <v>48</v>
      </c>
      <c r="D56" s="45"/>
      <c r="E56" s="25"/>
      <c r="F56" s="21"/>
      <c r="G56" s="21"/>
      <c r="H56" s="20"/>
      <c r="I56" s="19"/>
      <c r="J56" s="20"/>
      <c r="K56" s="19"/>
      <c r="L56" s="21"/>
    </row>
    <row r="57" spans="1:12" ht="18.75" customHeight="1">
      <c r="B57" s="26"/>
      <c r="C57" s="18"/>
      <c r="D57" s="18"/>
      <c r="E57" s="18"/>
      <c r="F57" s="27"/>
      <c r="G57" s="18"/>
      <c r="H57" s="18"/>
      <c r="I57" s="18"/>
      <c r="J57" s="18"/>
      <c r="K57" s="18"/>
      <c r="L57" s="18"/>
    </row>
    <row r="58" spans="1:12" ht="18.75" customHeight="1">
      <c r="A58" s="28"/>
      <c r="B58" s="61" t="s">
        <v>9</v>
      </c>
      <c r="C58" s="67" t="s">
        <v>49</v>
      </c>
      <c r="D58" s="47"/>
      <c r="E58" s="29" t="s">
        <v>50</v>
      </c>
      <c r="F58" s="15" t="s">
        <v>12</v>
      </c>
      <c r="G58" s="30" t="s">
        <v>13</v>
      </c>
      <c r="H58" s="15" t="s">
        <v>51</v>
      </c>
      <c r="I58" s="14" t="s">
        <v>52</v>
      </c>
      <c r="J58" s="14" t="s">
        <v>53</v>
      </c>
      <c r="K58" s="14" t="s">
        <v>17</v>
      </c>
      <c r="L58" s="16"/>
    </row>
    <row r="59" spans="1:12" ht="18.75" customHeight="1">
      <c r="B59" s="57"/>
      <c r="C59" s="48">
        <f>LEFT(C60,FIND("（ｺﾏ）×",C60)-1)*RIGHT(C60,LEN(C60)-FIND("×",C60))+IF(C61&lt;&gt;"",LEFT(C61,FIND("×",C61)-1)*RIGHT(C61,LEN(C61)-FIND("×",C61)),0)</f>
        <v>88000</v>
      </c>
      <c r="D59" s="45"/>
      <c r="E59" s="17">
        <f>LEFT(E60,FIND("（10分）×",E60)-1)*RIGHT(E60,LEN(E60)-FIND("×",E60))+LEFT(E61,FIND("（時間）×",E61)-1)*RIGHT(E61,LEN(E61)-FIND("×",E61))</f>
        <v>0</v>
      </c>
      <c r="F59" s="17">
        <f>LEFT(F60,FIND("×",F60)-1)*RIGHT(F60,LEN(F60)-FIND("×",F60))+IF(F61&lt;&gt;"",LEFT(F61,FIND("×",F61)-1)*RIGHT(F61,LEN(F61)-FIND("×",F61)),0)</f>
        <v>600</v>
      </c>
      <c r="G59" s="17">
        <f>LEFT(G60,FIND("（小6）×",G60)-1)*RIGHT(G60,LEN(G60)-FIND("×",G60))+LEFT(G61,FIND("（高3）×",G61)-1)*RIGHT(G61,LEN(G61)-FIND("×",G61))</f>
        <v>0</v>
      </c>
      <c r="H59" s="17">
        <f t="shared" ref="H59:K59" si="2">IF(H58&lt;&gt;"",LEFT(H60,FIND("×",H60)-1)*RIGHT(H60,LEN(H60)-FIND("×",H60))+IF(H61&lt;&gt;"",LEFT(H61,FIND("×",H61)-1)*RIGHT(H61,LEN(H61)-FIND("×",H61)),0),"")</f>
        <v>3450</v>
      </c>
      <c r="I59" s="17">
        <f t="shared" si="2"/>
        <v>0</v>
      </c>
      <c r="J59" s="17">
        <f t="shared" si="2"/>
        <v>0</v>
      </c>
      <c r="K59" s="17">
        <f t="shared" si="2"/>
        <v>24368</v>
      </c>
      <c r="L59" s="38"/>
    </row>
    <row r="60" spans="1:12" ht="18.75" customHeight="1">
      <c r="B60" s="57"/>
      <c r="C60" s="46" t="s">
        <v>142</v>
      </c>
      <c r="D60" s="47"/>
      <c r="E60" s="22" t="s">
        <v>55</v>
      </c>
      <c r="F60" s="31" t="s">
        <v>158</v>
      </c>
      <c r="G60" s="32" t="s">
        <v>132</v>
      </c>
      <c r="H60" s="31" t="s">
        <v>135</v>
      </c>
      <c r="I60" s="33" t="s">
        <v>19</v>
      </c>
      <c r="J60" s="31" t="s">
        <v>38</v>
      </c>
      <c r="K60" s="33" t="s">
        <v>159</v>
      </c>
      <c r="L60" s="34" t="s">
        <v>21</v>
      </c>
    </row>
    <row r="61" spans="1:12" ht="18.75" customHeight="1">
      <c r="B61" s="58"/>
      <c r="C61" s="65"/>
      <c r="D61" s="45"/>
      <c r="E61" s="24" t="s">
        <v>134</v>
      </c>
      <c r="F61" s="35"/>
      <c r="G61" s="25" t="s">
        <v>41</v>
      </c>
      <c r="H61" s="35" t="s">
        <v>23</v>
      </c>
      <c r="I61" s="25" t="s">
        <v>39</v>
      </c>
      <c r="J61" s="35"/>
      <c r="K61" s="25"/>
      <c r="L61" s="36">
        <f>SUM(C59:L59)+C54+E54+F54+G54</f>
        <v>116418</v>
      </c>
    </row>
    <row r="62" spans="1:12" ht="18.75" customHeight="1">
      <c r="B62" s="37"/>
      <c r="C62" s="18"/>
      <c r="D62" s="18"/>
      <c r="E62" s="18"/>
      <c r="F62" s="18"/>
      <c r="G62" s="18"/>
      <c r="H62" s="18"/>
      <c r="I62" s="33"/>
      <c r="J62" s="18"/>
      <c r="K62" s="18"/>
      <c r="L62" s="18"/>
    </row>
    <row r="63" spans="1:12" ht="18.75" customHeight="1">
      <c r="B63" s="56" t="s">
        <v>24</v>
      </c>
      <c r="C63" s="46" t="s">
        <v>25</v>
      </c>
      <c r="D63" s="47"/>
      <c r="E63" s="14" t="s">
        <v>26</v>
      </c>
      <c r="F63" s="14" t="s">
        <v>27</v>
      </c>
      <c r="G63" s="14"/>
      <c r="H63" s="15" t="s">
        <v>28</v>
      </c>
      <c r="I63" s="14" t="s">
        <v>29</v>
      </c>
      <c r="J63" s="15" t="s">
        <v>30</v>
      </c>
      <c r="K63" s="14" t="s">
        <v>31</v>
      </c>
      <c r="L63" s="16" t="s">
        <v>32</v>
      </c>
    </row>
    <row r="64" spans="1:12" ht="18.75" customHeight="1">
      <c r="B64" s="57"/>
      <c r="C64" s="44">
        <v>0</v>
      </c>
      <c r="D64" s="45"/>
      <c r="E64" s="38">
        <v>0</v>
      </c>
      <c r="F64" s="39">
        <v>0</v>
      </c>
      <c r="G64" s="38"/>
      <c r="H64" s="39">
        <f>SUM(C64:G64)</f>
        <v>0</v>
      </c>
      <c r="I64" s="38">
        <f>L61-K59-H64</f>
        <v>92050</v>
      </c>
      <c r="J64" s="39">
        <v>340</v>
      </c>
      <c r="K64" s="38">
        <v>0</v>
      </c>
      <c r="L64" s="36">
        <f>SUM(J64:K64)</f>
        <v>340</v>
      </c>
    </row>
    <row r="65" spans="2:12" ht="18.75" customHeight="1">
      <c r="B65" s="57"/>
      <c r="C65" s="46"/>
      <c r="D65" s="47"/>
      <c r="E65" s="14"/>
      <c r="F65" s="15"/>
      <c r="G65" s="14"/>
      <c r="H65" s="15"/>
      <c r="I65" s="14"/>
      <c r="J65" s="15"/>
      <c r="K65" s="14"/>
      <c r="L65" s="16" t="s">
        <v>33</v>
      </c>
    </row>
    <row r="66" spans="2:12" ht="18.75" customHeight="1">
      <c r="B66" s="58"/>
      <c r="C66" s="48"/>
      <c r="D66" s="45"/>
      <c r="E66" s="38"/>
      <c r="F66" s="39"/>
      <c r="G66" s="38"/>
      <c r="H66" s="39"/>
      <c r="I66" s="38"/>
      <c r="J66" s="39"/>
      <c r="K66" s="38"/>
      <c r="L66" s="36">
        <f>H64+L64</f>
        <v>340</v>
      </c>
    </row>
    <row r="67" spans="2:12" ht="18.75" customHeight="1"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2:12" ht="18.75" customHeight="1">
      <c r="B68" s="59" t="s">
        <v>34</v>
      </c>
      <c r="C68" s="46" t="s">
        <v>21</v>
      </c>
      <c r="D68" s="47"/>
      <c r="E68" s="14" t="s">
        <v>33</v>
      </c>
      <c r="F68" s="15"/>
      <c r="G68" s="14"/>
      <c r="H68" s="15"/>
      <c r="I68" s="14"/>
      <c r="J68" s="15"/>
      <c r="K68" s="14" t="s">
        <v>35</v>
      </c>
      <c r="L68" s="16" t="s">
        <v>36</v>
      </c>
    </row>
    <row r="69" spans="2:12" ht="18.75" customHeight="1">
      <c r="B69" s="58"/>
      <c r="C69" s="49">
        <f>L61</f>
        <v>116418</v>
      </c>
      <c r="D69" s="45"/>
      <c r="E69" s="38">
        <f>L66</f>
        <v>340</v>
      </c>
      <c r="F69" s="39"/>
      <c r="G69" s="38"/>
      <c r="H69" s="39"/>
      <c r="I69" s="38"/>
      <c r="J69" s="39"/>
      <c r="K69" s="38">
        <f>L69-J69</f>
        <v>116078</v>
      </c>
      <c r="L69" s="36">
        <f>C69-E69</f>
        <v>116078</v>
      </c>
    </row>
    <row r="70" spans="2:12" ht="18.75" customHeight="1"/>
    <row r="71" spans="2:12" ht="18.75" customHeight="1"/>
    <row r="72" spans="2:12" ht="18.75" customHeight="1"/>
    <row r="73" spans="2:12" ht="18.75" customHeight="1"/>
    <row r="74" spans="2:12" ht="18.75" customHeight="1"/>
    <row r="75" spans="2:12" ht="18.75" customHeight="1"/>
    <row r="76" spans="2:12" ht="18.75" customHeight="1"/>
    <row r="77" spans="2:12" ht="18.75" customHeight="1"/>
    <row r="78" spans="2:12" ht="18.75" customHeight="1"/>
    <row r="79" spans="2:12" ht="18.75" customHeight="1"/>
    <row r="80" spans="2:12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72">
    <mergeCell ref="B68:B69"/>
    <mergeCell ref="C37:D37"/>
    <mergeCell ref="C39:D39"/>
    <mergeCell ref="C29:D29"/>
    <mergeCell ref="C30:D30"/>
    <mergeCell ref="C31:D31"/>
    <mergeCell ref="C32:D32"/>
    <mergeCell ref="C34:D34"/>
    <mergeCell ref="C35:D35"/>
    <mergeCell ref="C36:D36"/>
    <mergeCell ref="D51:E51"/>
    <mergeCell ref="C53:D53"/>
    <mergeCell ref="C54:D54"/>
    <mergeCell ref="C68:D68"/>
    <mergeCell ref="C69:D69"/>
    <mergeCell ref="C55:D55"/>
    <mergeCell ref="C64:D64"/>
    <mergeCell ref="C65:D65"/>
    <mergeCell ref="C66:D66"/>
    <mergeCell ref="C42:D42"/>
    <mergeCell ref="C44:D44"/>
    <mergeCell ref="C45:D45"/>
    <mergeCell ref="B49:F49"/>
    <mergeCell ref="B50:C50"/>
    <mergeCell ref="D50:E50"/>
    <mergeCell ref="B51:C51"/>
    <mergeCell ref="B44:B45"/>
    <mergeCell ref="B53:B56"/>
    <mergeCell ref="B58:B61"/>
    <mergeCell ref="B63:B66"/>
    <mergeCell ref="A48:B48"/>
    <mergeCell ref="C56:D56"/>
    <mergeCell ref="C58:D58"/>
    <mergeCell ref="C59:D59"/>
    <mergeCell ref="C60:D60"/>
    <mergeCell ref="C61:D61"/>
    <mergeCell ref="C63:D63"/>
    <mergeCell ref="C6:D6"/>
    <mergeCell ref="C7:D7"/>
    <mergeCell ref="A1:B1"/>
    <mergeCell ref="B2:F2"/>
    <mergeCell ref="B3:C3"/>
    <mergeCell ref="D3:E3"/>
    <mergeCell ref="B4:C4"/>
    <mergeCell ref="D4:E4"/>
    <mergeCell ref="B6:B9"/>
    <mergeCell ref="C14:D14"/>
    <mergeCell ref="C16:D16"/>
    <mergeCell ref="C8:D8"/>
    <mergeCell ref="C9:D9"/>
    <mergeCell ref="B11:B14"/>
    <mergeCell ref="C11:D11"/>
    <mergeCell ref="C12:D12"/>
    <mergeCell ref="C13:D13"/>
    <mergeCell ref="B16:B19"/>
    <mergeCell ref="D27:E27"/>
    <mergeCell ref="C17:D17"/>
    <mergeCell ref="C18:D18"/>
    <mergeCell ref="B27:C27"/>
    <mergeCell ref="C40:D40"/>
    <mergeCell ref="C41:D41"/>
    <mergeCell ref="C19:D19"/>
    <mergeCell ref="C21:D21"/>
    <mergeCell ref="C22:D22"/>
    <mergeCell ref="B25:F25"/>
    <mergeCell ref="B26:C26"/>
    <mergeCell ref="D26:E26"/>
    <mergeCell ref="B39:B42"/>
    <mergeCell ref="B21:B22"/>
    <mergeCell ref="A24:B24"/>
    <mergeCell ref="B29:B32"/>
    <mergeCell ref="B34:B37"/>
  </mergeCells>
  <phoneticPr fontId="17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55"/>
  <sheetViews>
    <sheetView topLeftCell="A6" workbookViewId="0">
      <selection activeCell="J20" sqref="J20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>
      <c r="A3" s="60">
        <v>2023</v>
      </c>
      <c r="B3" s="54"/>
      <c r="C3" s="2" t="s">
        <v>0</v>
      </c>
      <c r="D3" s="3"/>
      <c r="E3" s="3" t="s">
        <v>136</v>
      </c>
    </row>
    <row r="4" spans="1:12" ht="18.75" customHeight="1">
      <c r="B4" s="50" t="s">
        <v>2</v>
      </c>
      <c r="C4" s="51"/>
      <c r="D4" s="51"/>
      <c r="E4" s="51"/>
      <c r="F4" s="52"/>
      <c r="H4" s="4"/>
      <c r="I4" s="5"/>
      <c r="J4" s="6"/>
    </row>
    <row r="5" spans="1:12" ht="18.75" customHeight="1">
      <c r="B5" s="53"/>
      <c r="C5" s="54"/>
      <c r="D5" s="55" t="s">
        <v>3</v>
      </c>
      <c r="E5" s="54"/>
      <c r="F5" s="7"/>
      <c r="G5" s="41" t="s">
        <v>4</v>
      </c>
      <c r="H5" s="9"/>
    </row>
    <row r="6" spans="1:12" ht="18.75" customHeight="1">
      <c r="B6" s="64" t="s">
        <v>5</v>
      </c>
      <c r="C6" s="63"/>
      <c r="D6" s="62" t="s">
        <v>67</v>
      </c>
      <c r="E6" s="63"/>
      <c r="F6" s="10" t="s">
        <v>6</v>
      </c>
      <c r="G6" s="11">
        <v>25</v>
      </c>
      <c r="J6" s="12"/>
    </row>
    <row r="7" spans="1:12" ht="18.75" customHeight="1">
      <c r="B7" s="13"/>
      <c r="J7" s="12"/>
    </row>
    <row r="8" spans="1:12" ht="18.75" customHeight="1">
      <c r="B8" s="61" t="s">
        <v>7</v>
      </c>
      <c r="C8" s="46" t="s">
        <v>8</v>
      </c>
      <c r="D8" s="47"/>
      <c r="E8" s="14" t="s">
        <v>45</v>
      </c>
      <c r="F8" s="15"/>
      <c r="G8" s="14"/>
      <c r="H8" s="15"/>
      <c r="I8" s="14"/>
      <c r="J8" s="15"/>
      <c r="K8" s="14"/>
      <c r="L8" s="16"/>
    </row>
    <row r="9" spans="1:12" ht="18.75" customHeight="1">
      <c r="B9" s="57"/>
      <c r="C9" s="48">
        <f>LEFT(C10,FIND("（ｺﾏ）×",C10)-1)*RIGHT(C10,LEN(C10)-FIND("×",C10))+IF(C11&lt;&gt;"",LEFT(C11,FIND("（時間）×",C11)-1)*RIGHT(C11,LEN(C11)-FIND("×",C11)),0)</f>
        <v>0</v>
      </c>
      <c r="D9" s="45"/>
      <c r="E9" s="17">
        <f>LEFT(E10,FIND("（＋1名）×",E10)-1)*RIGHT(E10,LEN(E10)-FIND("×",E10))</f>
        <v>0</v>
      </c>
      <c r="F9" s="18"/>
      <c r="G9" s="19"/>
      <c r="H9" s="20"/>
      <c r="I9" s="19"/>
      <c r="J9" s="20"/>
      <c r="K9" s="19"/>
      <c r="L9" s="21"/>
    </row>
    <row r="10" spans="1:12" ht="18.75" customHeight="1">
      <c r="B10" s="57"/>
      <c r="C10" s="68" t="s">
        <v>160</v>
      </c>
      <c r="D10" s="69"/>
      <c r="E10" s="22" t="s">
        <v>137</v>
      </c>
      <c r="F10" s="23"/>
      <c r="G10" s="16"/>
      <c r="H10" s="15"/>
      <c r="I10" s="14"/>
      <c r="J10" s="15"/>
      <c r="K10" s="14"/>
      <c r="L10" s="16"/>
    </row>
    <row r="11" spans="1:12" ht="18.75" customHeight="1">
      <c r="B11" s="58"/>
      <c r="C11" s="66" t="s">
        <v>69</v>
      </c>
      <c r="D11" s="70"/>
      <c r="E11" s="24"/>
      <c r="F11" s="25"/>
      <c r="G11" s="21"/>
      <c r="H11" s="20"/>
      <c r="I11" s="19"/>
      <c r="J11" s="20"/>
      <c r="K11" s="19"/>
      <c r="L11" s="21"/>
    </row>
    <row r="12" spans="1:12" ht="18.75" customHeight="1">
      <c r="B12" s="26"/>
      <c r="C12" s="18"/>
      <c r="D12" s="18"/>
      <c r="E12" s="18"/>
      <c r="F12" s="27"/>
      <c r="G12" s="18"/>
      <c r="H12" s="18"/>
      <c r="I12" s="18"/>
      <c r="J12" s="18"/>
      <c r="K12" s="18"/>
      <c r="L12" s="18"/>
    </row>
    <row r="13" spans="1:12" ht="18.75" customHeight="1">
      <c r="A13" s="28"/>
      <c r="B13" s="61" t="s">
        <v>9</v>
      </c>
      <c r="C13" s="67" t="s">
        <v>10</v>
      </c>
      <c r="D13" s="47"/>
      <c r="E13" s="29" t="s">
        <v>11</v>
      </c>
      <c r="F13" s="15" t="s">
        <v>12</v>
      </c>
      <c r="G13" s="30" t="s">
        <v>70</v>
      </c>
      <c r="H13" s="15" t="s">
        <v>14</v>
      </c>
      <c r="I13" s="14" t="s">
        <v>15</v>
      </c>
      <c r="J13" s="14" t="s">
        <v>139</v>
      </c>
      <c r="K13" s="14" t="s">
        <v>17</v>
      </c>
      <c r="L13" s="16"/>
    </row>
    <row r="14" spans="1:12" ht="18.75" customHeight="1">
      <c r="B14" s="57"/>
      <c r="C14" s="48">
        <f>LEFT(C15,FIND("（ｺﾏ）×",C15)-1)*RIGHT(C15,LEN(C15)-FIND("×",C15))+IF(C16&lt;&gt;"",LEFT(C16,FIND("×",C16)-1)*RIGHT(C16,LEN(C16)-FIND("×",C16)),0)</f>
        <v>162800</v>
      </c>
      <c r="D14" s="45"/>
      <c r="E14" s="17">
        <f>LEFT(E15,FIND("（10分）×",E15)-1)*RIGHT(E15,LEN(E15)-FIND("×",E15))+LEFT(E16,FIND("（時間）×",E16)-1)*RIGHT(E16,LEN(E16)-FIND("×",E16))</f>
        <v>0</v>
      </c>
      <c r="F14" s="17">
        <f>LEFT(F15,FIND("×",F15)-1)*RIGHT(F15,LEN(F15)-FIND("×",F15))+IF(F16&lt;&gt;"",LEFT(F16,FIND("×",F16)-1)*RIGHT(F16,LEN(F16)-FIND("×",F16)),0)</f>
        <v>30000</v>
      </c>
      <c r="G14" s="17">
        <f>LEFT(G15,FIND("（小6）×",G15)-1)*RIGHT(G15,LEN(G15)-FIND("×",G15))+LEFT(G16,FIND("（高3）×",G16)-1)*RIGHT(G16,LEN(G16)-FIND("×",G16))</f>
        <v>0</v>
      </c>
      <c r="H14" s="17">
        <f t="shared" ref="H14:K14" si="0">IF(H13&lt;&gt;"",LEFT(H15,FIND("×",H15)-1)*RIGHT(H15,LEN(H15)-FIND("×",H15))+IF(H16&lt;&gt;"",LEFT(H16,FIND("×",H16)-1)*RIGHT(H16,LEN(H16)-FIND("×",H16)),0),"")</f>
        <v>0</v>
      </c>
      <c r="I14" s="17">
        <f t="shared" si="0"/>
        <v>0</v>
      </c>
      <c r="J14" s="17">
        <f t="shared" si="0"/>
        <v>30000</v>
      </c>
      <c r="K14" s="17">
        <f t="shared" si="0"/>
        <v>28800</v>
      </c>
      <c r="L14" s="38"/>
    </row>
    <row r="15" spans="1:12" ht="18.75" customHeight="1">
      <c r="B15" s="57"/>
      <c r="C15" s="68" t="s">
        <v>141</v>
      </c>
      <c r="D15" s="69"/>
      <c r="E15" s="22" t="s">
        <v>71</v>
      </c>
      <c r="F15" s="31" t="s">
        <v>170</v>
      </c>
      <c r="G15" s="32" t="s">
        <v>40</v>
      </c>
      <c r="H15" s="31" t="s">
        <v>138</v>
      </c>
      <c r="I15" s="33" t="s">
        <v>19</v>
      </c>
      <c r="J15" s="31" t="s">
        <v>140</v>
      </c>
      <c r="K15" s="33" t="s">
        <v>161</v>
      </c>
      <c r="L15" s="34" t="s">
        <v>21</v>
      </c>
    </row>
    <row r="16" spans="1:12" ht="18.75" customHeight="1">
      <c r="B16" s="58"/>
      <c r="C16" s="65"/>
      <c r="D16" s="70"/>
      <c r="E16" s="24" t="s">
        <v>72</v>
      </c>
      <c r="F16" s="35"/>
      <c r="G16" s="25" t="s">
        <v>41</v>
      </c>
      <c r="H16" s="20"/>
      <c r="I16" s="25" t="s">
        <v>39</v>
      </c>
      <c r="J16" s="35"/>
      <c r="K16" s="25"/>
      <c r="L16" s="36">
        <f>SUM(C14:L14)+C9+E9</f>
        <v>251600</v>
      </c>
    </row>
    <row r="17" spans="2:12" ht="18.75" customHeight="1">
      <c r="B17" s="37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2:12" ht="18.75" customHeight="1">
      <c r="B18" s="56" t="s">
        <v>24</v>
      </c>
      <c r="C18" s="46" t="s">
        <v>25</v>
      </c>
      <c r="D18" s="47"/>
      <c r="E18" s="14" t="s">
        <v>26</v>
      </c>
      <c r="F18" s="14" t="s">
        <v>27</v>
      </c>
      <c r="G18" s="14"/>
      <c r="H18" s="15" t="s">
        <v>28</v>
      </c>
      <c r="I18" s="14" t="s">
        <v>29</v>
      </c>
      <c r="J18" s="15" t="s">
        <v>30</v>
      </c>
      <c r="K18" s="14" t="s">
        <v>31</v>
      </c>
      <c r="L18" s="16" t="s">
        <v>32</v>
      </c>
    </row>
    <row r="19" spans="2:12" ht="18.75" customHeight="1">
      <c r="B19" s="57"/>
      <c r="C19" s="44">
        <v>0</v>
      </c>
      <c r="D19" s="45"/>
      <c r="E19" s="38">
        <v>0</v>
      </c>
      <c r="F19" s="39">
        <v>0</v>
      </c>
      <c r="G19" s="38"/>
      <c r="H19" s="39">
        <f>SUM(C19:G19)</f>
        <v>0</v>
      </c>
      <c r="I19" s="38">
        <f>L16-K14-H19</f>
        <v>222800</v>
      </c>
      <c r="J19" s="39">
        <v>5560</v>
      </c>
      <c r="K19" s="38">
        <v>0</v>
      </c>
      <c r="L19" s="36">
        <f>SUM(J19:K19)</f>
        <v>5560</v>
      </c>
    </row>
    <row r="20" spans="2:12" ht="18.75" customHeight="1">
      <c r="B20" s="57"/>
      <c r="C20" s="46"/>
      <c r="D20" s="47"/>
      <c r="E20" s="14"/>
      <c r="F20" s="15"/>
      <c r="G20" s="14"/>
      <c r="H20" s="15"/>
      <c r="I20" s="14"/>
      <c r="J20" s="15"/>
      <c r="K20" s="14"/>
      <c r="L20" s="16" t="s">
        <v>33</v>
      </c>
    </row>
    <row r="21" spans="2:12" ht="18.75" customHeight="1">
      <c r="B21" s="58"/>
      <c r="C21" s="48"/>
      <c r="D21" s="45"/>
      <c r="E21" s="38"/>
      <c r="F21" s="39"/>
      <c r="G21" s="38"/>
      <c r="H21" s="39"/>
      <c r="I21" s="38"/>
      <c r="J21" s="39"/>
      <c r="K21" s="38"/>
      <c r="L21" s="36">
        <f>H19+L19</f>
        <v>5560</v>
      </c>
    </row>
    <row r="22" spans="2:12" ht="18.75" customHeight="1"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2:12" ht="18.75" customHeight="1">
      <c r="B23" s="59" t="s">
        <v>34</v>
      </c>
      <c r="C23" s="46" t="s">
        <v>21</v>
      </c>
      <c r="D23" s="47"/>
      <c r="E23" s="14" t="s">
        <v>33</v>
      </c>
      <c r="F23" s="15"/>
      <c r="G23" s="14"/>
      <c r="H23" s="15"/>
      <c r="I23" s="14"/>
      <c r="J23" s="15"/>
      <c r="K23" s="14" t="s">
        <v>35</v>
      </c>
      <c r="L23" s="16" t="s">
        <v>36</v>
      </c>
    </row>
    <row r="24" spans="2:12" ht="18.75" customHeight="1">
      <c r="B24" s="58"/>
      <c r="C24" s="49">
        <f>L16</f>
        <v>251600</v>
      </c>
      <c r="D24" s="45"/>
      <c r="E24" s="38">
        <f>L21</f>
        <v>5560</v>
      </c>
      <c r="F24" s="39"/>
      <c r="G24" s="38"/>
      <c r="H24" s="39"/>
      <c r="I24" s="38"/>
      <c r="J24" s="39"/>
      <c r="K24" s="38">
        <f>L24-J24</f>
        <v>246040</v>
      </c>
      <c r="L24" s="36">
        <f>C24-E24</f>
        <v>246040</v>
      </c>
    </row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</sheetData>
  <mergeCells count="24">
    <mergeCell ref="B23:B24"/>
    <mergeCell ref="A3:B3"/>
    <mergeCell ref="C19:D19"/>
    <mergeCell ref="C20:D20"/>
    <mergeCell ref="C21:D21"/>
    <mergeCell ref="B4:F4"/>
    <mergeCell ref="B5:C5"/>
    <mergeCell ref="D5:E5"/>
    <mergeCell ref="B6:C6"/>
    <mergeCell ref="D6:E6"/>
    <mergeCell ref="C8:D8"/>
    <mergeCell ref="C9:D9"/>
    <mergeCell ref="B8:B11"/>
    <mergeCell ref="B13:B16"/>
    <mergeCell ref="B18:B21"/>
    <mergeCell ref="C23:D23"/>
    <mergeCell ref="C24:D24"/>
    <mergeCell ref="C10:D10"/>
    <mergeCell ref="C11:D11"/>
    <mergeCell ref="C13:D13"/>
    <mergeCell ref="C14:D14"/>
    <mergeCell ref="C15:D15"/>
    <mergeCell ref="C16:D16"/>
    <mergeCell ref="C18:D18"/>
  </mergeCells>
  <phoneticPr fontId="17"/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topLeftCell="A12" workbookViewId="0">
      <selection sqref="A1:B1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0">
        <v>2022</v>
      </c>
      <c r="B1" s="54"/>
      <c r="C1" s="2" t="s">
        <v>0</v>
      </c>
      <c r="D1" s="3"/>
      <c r="E1" s="3" t="s">
        <v>1</v>
      </c>
    </row>
    <row r="2" spans="1:12" ht="18" customHeight="1">
      <c r="B2" s="50" t="s">
        <v>2</v>
      </c>
      <c r="C2" s="51"/>
      <c r="D2" s="51"/>
      <c r="E2" s="51"/>
      <c r="F2" s="52"/>
      <c r="H2" s="4"/>
      <c r="I2" s="5"/>
      <c r="J2" s="6"/>
    </row>
    <row r="3" spans="1:12" ht="18" customHeight="1">
      <c r="B3" s="53"/>
      <c r="C3" s="54"/>
      <c r="D3" s="55" t="s">
        <v>3</v>
      </c>
      <c r="E3" s="54"/>
      <c r="F3" s="7"/>
      <c r="G3" s="8" t="s">
        <v>4</v>
      </c>
    </row>
    <row r="4" spans="1:12" ht="18" customHeight="1">
      <c r="B4" s="64" t="s">
        <v>5</v>
      </c>
      <c r="C4" s="63"/>
      <c r="D4" s="62" t="s">
        <v>74</v>
      </c>
      <c r="E4" s="63"/>
      <c r="F4" s="10" t="s">
        <v>6</v>
      </c>
      <c r="G4" s="11">
        <v>1</v>
      </c>
      <c r="J4" s="12"/>
    </row>
    <row r="5" spans="1:12" ht="1.5" customHeight="1">
      <c r="B5" s="13"/>
      <c r="J5" s="12"/>
    </row>
    <row r="6" spans="1:12" ht="12" customHeight="1">
      <c r="B6" s="56" t="s">
        <v>75</v>
      </c>
      <c r="C6" s="46" t="s">
        <v>8</v>
      </c>
      <c r="D6" s="47"/>
      <c r="E6" s="14" t="s">
        <v>45</v>
      </c>
      <c r="F6" s="15"/>
      <c r="G6" s="14"/>
      <c r="H6" s="15"/>
      <c r="I6" s="14"/>
      <c r="J6" s="15"/>
      <c r="K6" s="14"/>
      <c r="L6" s="16"/>
    </row>
    <row r="7" spans="1:12" ht="12" customHeight="1">
      <c r="B7" s="57"/>
      <c r="C7" s="48">
        <f>LEFT(C8,FIND("（ｺﾏ）×",C8)-1)*RIGHT(C8,LEN(C8)-FIND("×",C8))+IF(C9&lt;&gt;"",LEFT(C9,FIND("（時間）×",C9)-1)*RIGHT(C9,LEN(C9)-FIND("×",C9)),0)</f>
        <v>0</v>
      </c>
      <c r="D7" s="45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57"/>
      <c r="C8" s="68" t="s">
        <v>76</v>
      </c>
      <c r="D8" s="69"/>
      <c r="E8" s="22" t="s">
        <v>68</v>
      </c>
      <c r="F8" s="23"/>
      <c r="G8" s="16"/>
      <c r="H8" s="15"/>
      <c r="I8" s="14"/>
      <c r="J8" s="15"/>
      <c r="K8" s="14"/>
      <c r="L8" s="16"/>
    </row>
    <row r="9" spans="1:12" ht="12" customHeight="1">
      <c r="B9" s="58"/>
      <c r="C9" s="66" t="s">
        <v>77</v>
      </c>
      <c r="D9" s="70"/>
      <c r="E9" s="24"/>
      <c r="F9" s="25"/>
      <c r="G9" s="21"/>
      <c r="H9" s="20"/>
      <c r="I9" s="19"/>
      <c r="J9" s="20"/>
      <c r="K9" s="19"/>
      <c r="L9" s="42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56" t="s">
        <v>78</v>
      </c>
      <c r="C11" s="67" t="s">
        <v>79</v>
      </c>
      <c r="D11" s="47"/>
      <c r="E11" s="29" t="s">
        <v>80</v>
      </c>
      <c r="F11" s="15" t="s">
        <v>12</v>
      </c>
      <c r="G11" s="30" t="s">
        <v>13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7"/>
      <c r="C12" s="48">
        <f>LEFT(C13,FIND("×",C13)-1)*RIGHT(C13,LEN(C13)-FIND("×",C13))+IF(C14&lt;&gt;"",LEFT(C14,FIND("×",C14)-1)*RIGHT(C14,LEN(C14)-FIND("×",C14)),0)</f>
        <v>3800</v>
      </c>
      <c r="D12" s="45"/>
      <c r="E12" s="17">
        <f>LEFT(E13,FIND("（10分）×",E13)-1)*RIGHT(E13,LEN(E13)-FIND("×",E13))+LEFT(E14,FIND("（60分）×",E14)-1)*RIGHT(E14,LEN(E14)-FIND("×",E14))</f>
        <v>0</v>
      </c>
      <c r="F12" s="17">
        <f>LEFT(F13,FIND("×",F13)-1)*RIGHT(F13,LEN(F13)-FIND("×",F13))+IF(F14&lt;&gt;"",LEFT(F14,FIND("×",F14)-1)*RIGHT(F14,LEN(F14)-FIND("×",F14)),0)</f>
        <v>200</v>
      </c>
      <c r="G12" s="17">
        <f>LEFT(G13,FIND("（小6）×",G13)-1)*RIGHT(G13,LEN(G13)-FIND("×",G13))+LEFT(G14,FIND("（高3）×",G14)-1)*RIGHT(G14,LEN(G14)-FIND("×",G14))</f>
        <v>200</v>
      </c>
      <c r="H12" s="17">
        <f t="shared" ref="H12:K12" si="0">IF(H11&lt;&gt;"",LEFT(H13,FIND("×",H13)-1)*RIGHT(H13,LEN(H13)-FIND("×",H13))+IF(H14&lt;&gt;"",LEFT(H14,FIND("×",H14)-1)*RIGHT(H14,LEN(H14)-FIND("×",H14)),0),"")</f>
        <v>0</v>
      </c>
      <c r="I12" s="17">
        <f t="shared" si="0"/>
        <v>0</v>
      </c>
      <c r="J12" s="17">
        <f t="shared" si="0"/>
        <v>0</v>
      </c>
      <c r="K12" s="17">
        <f t="shared" si="0"/>
        <v>1424</v>
      </c>
      <c r="L12" s="38"/>
    </row>
    <row r="13" spans="1:12" ht="12" customHeight="1">
      <c r="B13" s="57"/>
      <c r="C13" s="68" t="s">
        <v>81</v>
      </c>
      <c r="D13" s="69"/>
      <c r="E13" s="22" t="s">
        <v>82</v>
      </c>
      <c r="F13" s="31" t="s">
        <v>83</v>
      </c>
      <c r="G13" s="32" t="s">
        <v>40</v>
      </c>
      <c r="H13" s="31" t="s">
        <v>18</v>
      </c>
      <c r="I13" s="33" t="s">
        <v>19</v>
      </c>
      <c r="J13" s="31" t="s">
        <v>38</v>
      </c>
      <c r="K13" s="33" t="s">
        <v>84</v>
      </c>
      <c r="L13" s="34" t="s">
        <v>21</v>
      </c>
    </row>
    <row r="14" spans="1:12" ht="12" customHeight="1">
      <c r="B14" s="58"/>
      <c r="C14" s="68" t="s">
        <v>85</v>
      </c>
      <c r="D14" s="69"/>
      <c r="E14" s="24" t="s">
        <v>86</v>
      </c>
      <c r="F14" s="35"/>
      <c r="G14" s="25" t="s">
        <v>87</v>
      </c>
      <c r="H14" s="20"/>
      <c r="I14" s="25" t="s">
        <v>39</v>
      </c>
      <c r="J14" s="35"/>
      <c r="K14" s="25"/>
      <c r="L14" s="36">
        <f>SUM(C12:L12)+C7+E7</f>
        <v>5624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6" t="s">
        <v>24</v>
      </c>
      <c r="C16" s="46" t="s">
        <v>25</v>
      </c>
      <c r="D16" s="47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customHeight="1">
      <c r="B17" s="57"/>
      <c r="C17" s="44">
        <v>0</v>
      </c>
      <c r="D17" s="45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4200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57"/>
      <c r="C18" s="46"/>
      <c r="D18" s="47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customHeight="1">
      <c r="B19" s="58"/>
      <c r="C19" s="48"/>
      <c r="D19" s="45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59" t="s">
        <v>34</v>
      </c>
      <c r="C21" s="46" t="s">
        <v>21</v>
      </c>
      <c r="D21" s="47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customHeight="1">
      <c r="B22" s="58"/>
      <c r="C22" s="49">
        <f>L14</f>
        <v>5624</v>
      </c>
      <c r="D22" s="45"/>
      <c r="E22" s="38">
        <f>L19</f>
        <v>0</v>
      </c>
      <c r="F22" s="39"/>
      <c r="G22" s="38"/>
      <c r="H22" s="39"/>
      <c r="I22" s="38"/>
      <c r="J22" s="39"/>
      <c r="K22" s="38">
        <f>L22-J22</f>
        <v>5624</v>
      </c>
      <c r="L22" s="36">
        <f>C22-E22</f>
        <v>5624</v>
      </c>
    </row>
    <row r="23" spans="1:12" ht="18.75" customHeight="1"/>
    <row r="24" spans="1:12" ht="18" customHeight="1">
      <c r="A24" s="60">
        <v>2023</v>
      </c>
      <c r="B24" s="54"/>
      <c r="C24" s="2" t="s">
        <v>0</v>
      </c>
      <c r="D24" s="3"/>
      <c r="E24" s="3" t="s">
        <v>37</v>
      </c>
    </row>
    <row r="25" spans="1:12" ht="18" customHeight="1">
      <c r="B25" s="50" t="s">
        <v>2</v>
      </c>
      <c r="C25" s="51"/>
      <c r="D25" s="51"/>
      <c r="E25" s="51"/>
      <c r="F25" s="52"/>
      <c r="H25" s="4"/>
      <c r="I25" s="5"/>
      <c r="J25" s="6"/>
    </row>
    <row r="26" spans="1:12" ht="18" customHeight="1">
      <c r="B26" s="53"/>
      <c r="C26" s="54"/>
      <c r="D26" s="55" t="s">
        <v>3</v>
      </c>
      <c r="E26" s="54"/>
      <c r="F26" s="7"/>
      <c r="G26" s="8" t="s">
        <v>4</v>
      </c>
    </row>
    <row r="27" spans="1:12" ht="18" customHeight="1">
      <c r="B27" s="64" t="s">
        <v>5</v>
      </c>
      <c r="C27" s="63"/>
      <c r="D27" s="62" t="s">
        <v>74</v>
      </c>
      <c r="E27" s="63"/>
      <c r="F27" s="10" t="s">
        <v>6</v>
      </c>
      <c r="G27" s="11">
        <v>1</v>
      </c>
      <c r="J27" s="12"/>
    </row>
    <row r="28" spans="1:12" ht="1.5" customHeight="1">
      <c r="B28" s="13"/>
      <c r="J28" s="12"/>
    </row>
    <row r="29" spans="1:12" ht="12" customHeight="1">
      <c r="B29" s="56" t="s">
        <v>75</v>
      </c>
      <c r="C29" s="46" t="s">
        <v>8</v>
      </c>
      <c r="D29" s="47"/>
      <c r="E29" s="14" t="s">
        <v>45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57"/>
      <c r="C30" s="48">
        <f>LEFT(C31,FIND("（ｺﾏ）×",C31)-1)*RIGHT(C31,LEN(C31)-FIND("×",C31))+IF(C32&lt;&gt;"",LEFT(C32,FIND("（時間）×",C32)-1)*RIGHT(C32,LEN(C32)-FIND("×",C32)),0)</f>
        <v>0</v>
      </c>
      <c r="D30" s="45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57"/>
      <c r="C31" s="68" t="s">
        <v>76</v>
      </c>
      <c r="D31" s="69"/>
      <c r="E31" s="22" t="s">
        <v>68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8"/>
      <c r="C32" s="66" t="s">
        <v>77</v>
      </c>
      <c r="D32" s="70"/>
      <c r="E32" s="24"/>
      <c r="F32" s="25"/>
      <c r="G32" s="21"/>
      <c r="H32" s="20"/>
      <c r="I32" s="19"/>
      <c r="J32" s="20"/>
      <c r="K32" s="19"/>
      <c r="L32" s="42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56" t="s">
        <v>78</v>
      </c>
      <c r="C34" s="67" t="s">
        <v>79</v>
      </c>
      <c r="D34" s="47"/>
      <c r="E34" s="29" t="s">
        <v>80</v>
      </c>
      <c r="F34" s="15" t="s">
        <v>12</v>
      </c>
      <c r="G34" s="30" t="s">
        <v>13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57"/>
      <c r="C35" s="48">
        <f>LEFT(C36,FIND("×",C36)-1)*RIGHT(C36,LEN(C36)-FIND("×",C36))+IF(C37&lt;&gt;"",LEFT(C37,FIND("×",C37)-1)*RIGHT(C37,LEN(C37)-FIND("×",C37)),0)</f>
        <v>3800</v>
      </c>
      <c r="D35" s="45"/>
      <c r="E35" s="17">
        <f>LEFT(E36,FIND("（10分）×",E36)-1)*RIGHT(E36,LEN(E36)-FIND("×",E36))+LEFT(E37,FIND("（60分）×",E37)-1)*RIGHT(E37,LEN(E37)-FIND("×",E37))</f>
        <v>0</v>
      </c>
      <c r="F35" s="17">
        <f>LEFT(F36,FIND("×",F36)-1)*RIGHT(F36,LEN(F36)-FIND("×",F36))+IF(F37&lt;&gt;"",LEFT(F37,FIND("×",F37)-1)*RIGHT(F37,LEN(F37)-FIND("×",F37)),0)</f>
        <v>200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0</v>
      </c>
      <c r="K35" s="17">
        <f t="shared" si="1"/>
        <v>1424</v>
      </c>
      <c r="L35" s="38"/>
    </row>
    <row r="36" spans="1:12" ht="12" customHeight="1">
      <c r="B36" s="57"/>
      <c r="C36" s="68" t="s">
        <v>81</v>
      </c>
      <c r="D36" s="69"/>
      <c r="E36" s="22" t="s">
        <v>82</v>
      </c>
      <c r="F36" s="31" t="s">
        <v>83</v>
      </c>
      <c r="G36" s="32" t="s">
        <v>40</v>
      </c>
      <c r="H36" s="31" t="s">
        <v>18</v>
      </c>
      <c r="I36" s="33" t="s">
        <v>19</v>
      </c>
      <c r="J36" s="31" t="s">
        <v>38</v>
      </c>
      <c r="K36" s="33" t="s">
        <v>84</v>
      </c>
      <c r="L36" s="34" t="s">
        <v>21</v>
      </c>
    </row>
    <row r="37" spans="1:12" ht="12" customHeight="1">
      <c r="B37" s="58"/>
      <c r="C37" s="68" t="s">
        <v>85</v>
      </c>
      <c r="D37" s="69"/>
      <c r="E37" s="24" t="s">
        <v>86</v>
      </c>
      <c r="F37" s="35"/>
      <c r="G37" s="25" t="s">
        <v>41</v>
      </c>
      <c r="H37" s="20"/>
      <c r="I37" s="25" t="s">
        <v>39</v>
      </c>
      <c r="J37" s="35"/>
      <c r="K37" s="25"/>
      <c r="L37" s="36">
        <f>SUM(C35:L35)+C30+E30</f>
        <v>5424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56" t="s">
        <v>24</v>
      </c>
      <c r="C39" s="46" t="s">
        <v>25</v>
      </c>
      <c r="D39" s="47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customHeight="1">
      <c r="B40" s="57"/>
      <c r="C40" s="44">
        <v>0</v>
      </c>
      <c r="D40" s="45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4000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57"/>
      <c r="C41" s="46"/>
      <c r="D41" s="47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customHeight="1">
      <c r="B42" s="58"/>
      <c r="C42" s="48"/>
      <c r="D42" s="45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59" t="s">
        <v>34</v>
      </c>
      <c r="C44" s="46" t="s">
        <v>21</v>
      </c>
      <c r="D44" s="47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customHeight="1">
      <c r="B45" s="58"/>
      <c r="C45" s="49">
        <f>L37</f>
        <v>5424</v>
      </c>
      <c r="D45" s="45"/>
      <c r="E45" s="38">
        <f>L42</f>
        <v>0</v>
      </c>
      <c r="F45" s="39"/>
      <c r="G45" s="38"/>
      <c r="H45" s="39"/>
      <c r="I45" s="38"/>
      <c r="J45" s="39"/>
      <c r="K45" s="38">
        <f>L45-J45</f>
        <v>5424</v>
      </c>
      <c r="L45" s="36">
        <f>C45-E45</f>
        <v>5424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</mergeCells>
  <phoneticPr fontId="17"/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opLeftCell="A12" workbookViewId="0">
      <selection sqref="A1:B1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0">
        <v>2022</v>
      </c>
      <c r="B1" s="54"/>
      <c r="C1" s="2" t="s">
        <v>0</v>
      </c>
      <c r="D1" s="3"/>
      <c r="E1" s="3" t="s">
        <v>66</v>
      </c>
    </row>
    <row r="2" spans="1:12" ht="18" customHeight="1">
      <c r="B2" s="50" t="s">
        <v>2</v>
      </c>
      <c r="C2" s="51"/>
      <c r="D2" s="51"/>
      <c r="E2" s="51"/>
      <c r="F2" s="52"/>
      <c r="H2" s="4"/>
      <c r="I2" s="5"/>
      <c r="J2" s="6"/>
    </row>
    <row r="3" spans="1:12" ht="18" customHeight="1">
      <c r="B3" s="53"/>
      <c r="C3" s="54"/>
      <c r="D3" s="55" t="s">
        <v>3</v>
      </c>
      <c r="E3" s="54"/>
      <c r="F3" s="7"/>
      <c r="G3" s="41" t="s">
        <v>4</v>
      </c>
      <c r="H3" s="9"/>
    </row>
    <row r="4" spans="1:12" ht="18" customHeight="1">
      <c r="B4" s="64" t="s">
        <v>5</v>
      </c>
      <c r="C4" s="63"/>
      <c r="D4" s="62" t="s">
        <v>88</v>
      </c>
      <c r="E4" s="63"/>
      <c r="F4" s="10" t="s">
        <v>6</v>
      </c>
      <c r="G4" s="11">
        <v>4</v>
      </c>
      <c r="J4" s="12"/>
    </row>
    <row r="5" spans="1:12" ht="1.5" customHeight="1">
      <c r="B5" s="13"/>
      <c r="J5" s="12"/>
    </row>
    <row r="6" spans="1:12" ht="12" customHeight="1">
      <c r="B6" s="61" t="s">
        <v>7</v>
      </c>
      <c r="C6" s="46" t="s">
        <v>8</v>
      </c>
      <c r="D6" s="47"/>
      <c r="E6" s="14" t="s">
        <v>45</v>
      </c>
      <c r="F6" s="15"/>
      <c r="G6" s="14"/>
      <c r="H6" s="15"/>
      <c r="I6" s="14"/>
      <c r="J6" s="15"/>
      <c r="K6" s="14"/>
      <c r="L6" s="16"/>
    </row>
    <row r="7" spans="1:12" ht="12" customHeight="1">
      <c r="B7" s="57"/>
      <c r="C7" s="48">
        <f>LEFT(C8,FIND("（ｺﾏ）×",C8)-1)*RIGHT(C8,LEN(C8)-FIND("×",C8))+IF(C9&lt;&gt;"",LEFT(C9,FIND("（時間）×",C9)-1)*RIGHT(C9,LEN(C9)-FIND("×",C9)),0)</f>
        <v>0</v>
      </c>
      <c r="D7" s="45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57"/>
      <c r="C8" s="68" t="s">
        <v>89</v>
      </c>
      <c r="D8" s="69"/>
      <c r="E8" s="22" t="s">
        <v>68</v>
      </c>
      <c r="F8" s="23"/>
      <c r="G8" s="16"/>
      <c r="H8" s="15"/>
      <c r="I8" s="14"/>
      <c r="J8" s="15"/>
      <c r="K8" s="14"/>
      <c r="L8" s="16"/>
    </row>
    <row r="9" spans="1:12" ht="12" customHeight="1">
      <c r="B9" s="58"/>
      <c r="C9" s="66" t="s">
        <v>90</v>
      </c>
      <c r="D9" s="70"/>
      <c r="E9" s="24"/>
      <c r="F9" s="25"/>
      <c r="G9" s="21"/>
      <c r="H9" s="20"/>
      <c r="I9" s="19"/>
      <c r="J9" s="20"/>
      <c r="K9" s="19"/>
      <c r="L9" s="21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61" t="s">
        <v>9</v>
      </c>
      <c r="C11" s="67" t="s">
        <v>10</v>
      </c>
      <c r="D11" s="47"/>
      <c r="E11" s="29" t="s">
        <v>11</v>
      </c>
      <c r="F11" s="15" t="s">
        <v>12</v>
      </c>
      <c r="G11" s="30" t="s">
        <v>70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7"/>
      <c r="C12" s="48">
        <f>LEFT(C13,FIND("（ｺﾏ）×",C13)-1)*RIGHT(C13,LEN(C13)-FIND("×",C13))+IF(C14&lt;&gt;"",LEFT(C14,FIND("×",C14)-1)*RIGHT(C14,LEN(C14)-FIND("×",C14)),0)</f>
        <v>8800</v>
      </c>
      <c r="D12" s="45"/>
      <c r="E12" s="17">
        <f>LEFT(E13,FIND("（10分）×",E13)-1)*RIGHT(E13,LEN(E13)-FIND("×",E13))+LEFT(E14,FIND("（時間）×",E14)-1)*RIGHT(E14,LEN(E14)-FIND("×",E14))</f>
        <v>0</v>
      </c>
      <c r="F12" s="17">
        <f>LEFT(F13,FIND("×",F13)-1)*RIGHT(F13,LEN(F13)-FIND("×",F13))+IF(F14&lt;&gt;"",LEFT(F14,FIND("×",F14)-1)*RIGHT(F14,LEN(F14)-FIND("×",F14)),0)</f>
        <v>400</v>
      </c>
      <c r="G12" s="17">
        <f>LEFT(G13,FIND("（小6）×",G13)-1)*RIGHT(G13,LEN(G13)-FIND("×",G13))+LEFT(G14,FIND("（高3）×",G14)-1)*RIGHT(G14,LEN(G14)-FIND("×",G14))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4900</v>
      </c>
      <c r="I12" s="17">
        <f t="shared" si="0"/>
        <v>700</v>
      </c>
      <c r="J12" s="17">
        <f t="shared" si="0"/>
        <v>0</v>
      </c>
      <c r="K12" s="17">
        <f t="shared" si="0"/>
        <v>0</v>
      </c>
      <c r="L12" s="38"/>
    </row>
    <row r="13" spans="1:12" ht="12" customHeight="1">
      <c r="B13" s="57"/>
      <c r="C13" s="68" t="s">
        <v>91</v>
      </c>
      <c r="D13" s="69"/>
      <c r="E13" s="22" t="s">
        <v>92</v>
      </c>
      <c r="F13" s="31" t="s">
        <v>93</v>
      </c>
      <c r="G13" s="32" t="s">
        <v>40</v>
      </c>
      <c r="H13" s="31" t="s">
        <v>94</v>
      </c>
      <c r="I13" s="33" t="s">
        <v>95</v>
      </c>
      <c r="J13" s="31" t="s">
        <v>38</v>
      </c>
      <c r="K13" s="33" t="s">
        <v>96</v>
      </c>
      <c r="L13" s="34" t="s">
        <v>21</v>
      </c>
    </row>
    <row r="14" spans="1:12" ht="12" customHeight="1">
      <c r="B14" s="58"/>
      <c r="C14" s="65"/>
      <c r="D14" s="70"/>
      <c r="E14" s="24" t="s">
        <v>97</v>
      </c>
      <c r="F14" s="35"/>
      <c r="G14" s="25" t="s">
        <v>41</v>
      </c>
      <c r="H14" s="35" t="s">
        <v>98</v>
      </c>
      <c r="I14" s="25" t="s">
        <v>39</v>
      </c>
      <c r="J14" s="35"/>
      <c r="K14" s="25"/>
      <c r="L14" s="36">
        <f>SUM(C12:L12)+C7+E7</f>
        <v>14800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6" t="s">
        <v>24</v>
      </c>
      <c r="C16" s="46" t="s">
        <v>25</v>
      </c>
      <c r="D16" s="47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customHeight="1">
      <c r="B17" s="57"/>
      <c r="C17" s="44">
        <v>0</v>
      </c>
      <c r="D17" s="45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14800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57"/>
      <c r="C18" s="46"/>
      <c r="D18" s="47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customHeight="1">
      <c r="B19" s="58"/>
      <c r="C19" s="48"/>
      <c r="D19" s="45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59" t="s">
        <v>34</v>
      </c>
      <c r="C21" s="46" t="s">
        <v>21</v>
      </c>
      <c r="D21" s="47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customHeight="1">
      <c r="B22" s="58"/>
      <c r="C22" s="49">
        <f>L14</f>
        <v>14800</v>
      </c>
      <c r="D22" s="45"/>
      <c r="E22" s="38">
        <f>L19</f>
        <v>0</v>
      </c>
      <c r="F22" s="39"/>
      <c r="G22" s="38"/>
      <c r="H22" s="39"/>
      <c r="I22" s="38"/>
      <c r="J22" s="39"/>
      <c r="K22" s="38">
        <f>L22-J22</f>
        <v>14800</v>
      </c>
      <c r="L22" s="36">
        <f>C22-E22</f>
        <v>14800</v>
      </c>
    </row>
    <row r="23" spans="1:12" ht="18.75" customHeight="1"/>
    <row r="24" spans="1:12" ht="18" customHeight="1">
      <c r="A24" s="60">
        <v>2023</v>
      </c>
      <c r="B24" s="54"/>
      <c r="C24" s="2" t="s">
        <v>0</v>
      </c>
      <c r="D24" s="3"/>
      <c r="E24" s="3" t="s">
        <v>73</v>
      </c>
    </row>
    <row r="25" spans="1:12" ht="18" customHeight="1">
      <c r="B25" s="50" t="s">
        <v>2</v>
      </c>
      <c r="C25" s="51"/>
      <c r="D25" s="51"/>
      <c r="E25" s="51"/>
      <c r="F25" s="52"/>
      <c r="H25" s="4"/>
      <c r="I25" s="5"/>
      <c r="J25" s="6"/>
    </row>
    <row r="26" spans="1:12" ht="18" customHeight="1">
      <c r="B26" s="53"/>
      <c r="C26" s="54"/>
      <c r="D26" s="55" t="s">
        <v>3</v>
      </c>
      <c r="E26" s="54"/>
      <c r="F26" s="7"/>
      <c r="G26" s="41" t="s">
        <v>4</v>
      </c>
      <c r="H26" s="9"/>
    </row>
    <row r="27" spans="1:12" ht="18" customHeight="1">
      <c r="B27" s="64" t="s">
        <v>5</v>
      </c>
      <c r="C27" s="63"/>
      <c r="D27" s="62" t="s">
        <v>88</v>
      </c>
      <c r="E27" s="63"/>
      <c r="F27" s="10" t="s">
        <v>6</v>
      </c>
      <c r="G27" s="11">
        <v>5</v>
      </c>
      <c r="J27" s="12"/>
    </row>
    <row r="28" spans="1:12" ht="1.5" customHeight="1">
      <c r="B28" s="13"/>
      <c r="J28" s="12"/>
    </row>
    <row r="29" spans="1:12" ht="12" customHeight="1">
      <c r="B29" s="61" t="s">
        <v>7</v>
      </c>
      <c r="C29" s="46" t="s">
        <v>8</v>
      </c>
      <c r="D29" s="47"/>
      <c r="E29" s="14" t="s">
        <v>45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57"/>
      <c r="C30" s="48">
        <f>LEFT(C31,FIND("（ｺﾏ）×",C31)-1)*RIGHT(C31,LEN(C31)-FIND("×",C31))+IF(C32&lt;&gt;"",LEFT(C32,FIND("（時間）×",C32)-1)*RIGHT(C32,LEN(C32)-FIND("×",C32)),0)</f>
        <v>0</v>
      </c>
      <c r="D30" s="45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57"/>
      <c r="C31" s="68" t="s">
        <v>89</v>
      </c>
      <c r="D31" s="69"/>
      <c r="E31" s="22" t="s">
        <v>68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8"/>
      <c r="C32" s="66" t="s">
        <v>90</v>
      </c>
      <c r="D32" s="70"/>
      <c r="E32" s="24"/>
      <c r="F32" s="25"/>
      <c r="G32" s="21"/>
      <c r="H32" s="20"/>
      <c r="I32" s="19"/>
      <c r="J32" s="20"/>
      <c r="K32" s="19"/>
      <c r="L32" s="21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61" t="s">
        <v>9</v>
      </c>
      <c r="C34" s="67" t="s">
        <v>10</v>
      </c>
      <c r="D34" s="47"/>
      <c r="E34" s="29" t="s">
        <v>11</v>
      </c>
      <c r="F34" s="15" t="s">
        <v>12</v>
      </c>
      <c r="G34" s="30" t="s">
        <v>70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57"/>
      <c r="C35" s="48">
        <f>LEFT(C36,FIND("（ｺﾏ）×",C36)-1)*RIGHT(C36,LEN(C36)-FIND("×",C36))+IF(C37&lt;&gt;"",LEFT(C37,FIND("×",C37)-1)*RIGHT(C37,LEN(C37)-FIND("×",C37)),0)</f>
        <v>13200</v>
      </c>
      <c r="D35" s="45"/>
      <c r="E35" s="17">
        <f>LEFT(E36,FIND("（10分）×",E36)-1)*RIGHT(E36,LEN(E36)-FIND("×",E36))+LEFT(E37,FIND("（時間）×",E37)-1)*RIGHT(E37,LEN(E37)-FIND("×",E37))</f>
        <v>550</v>
      </c>
      <c r="F35" s="17">
        <f>LEFT(F36,FIND("×",F36)-1)*RIGHT(F36,LEN(F36)-FIND("×",F36))+IF(F37&lt;&gt;"",LEFT(F37,FIND("×",F37)-1)*RIGHT(F37,LEN(F37)-FIND("×",F37)),0)</f>
        <v>400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0</v>
      </c>
      <c r="K35" s="17">
        <f t="shared" si="1"/>
        <v>0</v>
      </c>
      <c r="L35" s="38"/>
    </row>
    <row r="36" spans="1:12" ht="12" customHeight="1">
      <c r="B36" s="57"/>
      <c r="C36" s="68" t="s">
        <v>99</v>
      </c>
      <c r="D36" s="69"/>
      <c r="E36" s="22" t="s">
        <v>100</v>
      </c>
      <c r="F36" s="31" t="s">
        <v>93</v>
      </c>
      <c r="G36" s="32" t="s">
        <v>40</v>
      </c>
      <c r="H36" s="31" t="s">
        <v>18</v>
      </c>
      <c r="I36" s="33" t="s">
        <v>19</v>
      </c>
      <c r="J36" s="31" t="s">
        <v>38</v>
      </c>
      <c r="K36" s="33" t="s">
        <v>96</v>
      </c>
      <c r="L36" s="34" t="s">
        <v>21</v>
      </c>
    </row>
    <row r="37" spans="1:12" ht="12" customHeight="1">
      <c r="B37" s="58"/>
      <c r="C37" s="65"/>
      <c r="D37" s="70"/>
      <c r="E37" s="24" t="s">
        <v>97</v>
      </c>
      <c r="F37" s="35"/>
      <c r="G37" s="25" t="s">
        <v>41</v>
      </c>
      <c r="H37" s="35" t="s">
        <v>23</v>
      </c>
      <c r="I37" s="25" t="s">
        <v>39</v>
      </c>
      <c r="J37" s="35"/>
      <c r="K37" s="25"/>
      <c r="L37" s="36">
        <f>SUM(C35:L35)+C30+E30</f>
        <v>14150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56" t="s">
        <v>24</v>
      </c>
      <c r="C39" s="46" t="s">
        <v>25</v>
      </c>
      <c r="D39" s="47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customHeight="1">
      <c r="B40" s="57"/>
      <c r="C40" s="44">
        <v>0</v>
      </c>
      <c r="D40" s="45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14150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57"/>
      <c r="C41" s="46"/>
      <c r="D41" s="47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customHeight="1">
      <c r="B42" s="58"/>
      <c r="C42" s="48"/>
      <c r="D42" s="45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59" t="s">
        <v>34</v>
      </c>
      <c r="C44" s="46" t="s">
        <v>21</v>
      </c>
      <c r="D44" s="47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customHeight="1">
      <c r="B45" s="58"/>
      <c r="C45" s="49">
        <f>L37</f>
        <v>14150</v>
      </c>
      <c r="D45" s="45"/>
      <c r="E45" s="38">
        <f>L42</f>
        <v>0</v>
      </c>
      <c r="F45" s="39"/>
      <c r="G45" s="38"/>
      <c r="H45" s="39"/>
      <c r="I45" s="38"/>
      <c r="J45" s="39"/>
      <c r="K45" s="38">
        <f>L45-J45</f>
        <v>14150</v>
      </c>
      <c r="L45" s="36">
        <f>C45-E45</f>
        <v>14150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</mergeCells>
  <phoneticPr fontId="17"/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8"/>
  <sheetViews>
    <sheetView workbookViewId="0">
      <selection activeCell="N3" sqref="N3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0">
        <v>2023</v>
      </c>
      <c r="B2" s="54"/>
      <c r="C2" s="2" t="s">
        <v>0</v>
      </c>
      <c r="D2" s="3"/>
      <c r="E2" s="3" t="s">
        <v>136</v>
      </c>
    </row>
    <row r="3" spans="1:12" ht="18" customHeight="1">
      <c r="B3" s="50" t="s">
        <v>2</v>
      </c>
      <c r="C3" s="51"/>
      <c r="D3" s="51"/>
      <c r="E3" s="51"/>
      <c r="F3" s="52"/>
      <c r="H3" s="4"/>
      <c r="I3" s="5"/>
      <c r="J3" s="6"/>
    </row>
    <row r="4" spans="1:12" ht="18" customHeight="1">
      <c r="B4" s="53"/>
      <c r="C4" s="54"/>
      <c r="D4" s="55" t="s">
        <v>3</v>
      </c>
      <c r="E4" s="54"/>
      <c r="F4" s="7"/>
      <c r="G4" s="41" t="s">
        <v>4</v>
      </c>
      <c r="H4" s="9"/>
    </row>
    <row r="5" spans="1:12" ht="18" customHeight="1">
      <c r="B5" s="64" t="s">
        <v>5</v>
      </c>
      <c r="C5" s="63"/>
      <c r="D5" s="62" t="s">
        <v>163</v>
      </c>
      <c r="E5" s="63"/>
      <c r="F5" s="10" t="s">
        <v>6</v>
      </c>
      <c r="G5" s="11">
        <v>7</v>
      </c>
      <c r="J5" s="12"/>
    </row>
    <row r="6" spans="1:12" ht="1.5" customHeight="1">
      <c r="B6" s="13"/>
      <c r="J6" s="12"/>
    </row>
    <row r="7" spans="1:12" ht="12" customHeight="1">
      <c r="B7" s="61" t="s">
        <v>7</v>
      </c>
      <c r="C7" s="46" t="s">
        <v>8</v>
      </c>
      <c r="D7" s="47"/>
      <c r="E7" s="14" t="s">
        <v>45</v>
      </c>
      <c r="F7" s="46"/>
      <c r="G7" s="47"/>
      <c r="H7" s="15"/>
      <c r="I7" s="14"/>
      <c r="J7" s="15"/>
      <c r="K7" s="14"/>
      <c r="L7" s="16"/>
    </row>
    <row r="8" spans="1:12" ht="12" customHeight="1">
      <c r="B8" s="57"/>
      <c r="C8" s="48">
        <f>LEFT(C9,FIND("（ｺﾏ）×",C9)-1)*RIGHT(C9,LEN(C9)-FIND("×",C9))+IF(C10&lt;&gt;"",LEFT(C10,FIND("（時間）×",C10)-1)*RIGHT(C10,LEN(C10)-FIND("×",C10)),0)</f>
        <v>0</v>
      </c>
      <c r="D8" s="45"/>
      <c r="E8" s="17">
        <f>LEFT(E9,FIND("（＋1名）×",E9)-1)*RIGHT(E9,LEN(E9)-FIND("×",E9))</f>
        <v>0</v>
      </c>
      <c r="F8" s="48"/>
      <c r="G8" s="45"/>
      <c r="H8" s="20"/>
      <c r="I8" s="19"/>
      <c r="J8" s="20"/>
      <c r="K8" s="19"/>
      <c r="L8" s="21"/>
    </row>
    <row r="9" spans="1:12" ht="12" customHeight="1">
      <c r="B9" s="57"/>
      <c r="C9" s="68" t="s">
        <v>165</v>
      </c>
      <c r="D9" s="69"/>
      <c r="E9" s="22" t="s">
        <v>68</v>
      </c>
      <c r="F9" s="68"/>
      <c r="G9" s="69"/>
      <c r="H9" s="15"/>
      <c r="I9" s="14"/>
      <c r="J9" s="15"/>
      <c r="K9" s="14"/>
      <c r="L9" s="16"/>
    </row>
    <row r="10" spans="1:12" ht="12" customHeight="1">
      <c r="B10" s="58"/>
      <c r="C10" s="66" t="s">
        <v>97</v>
      </c>
      <c r="D10" s="70"/>
      <c r="E10" s="24"/>
      <c r="F10" s="66"/>
      <c r="G10" s="45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1" t="s">
        <v>9</v>
      </c>
      <c r="C12" s="67" t="s">
        <v>79</v>
      </c>
      <c r="D12" s="47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7"/>
      <c r="C13" s="48">
        <f>LEFT(C14,FIND("×",C14)-1)*RIGHT(C14,LEN(C14)-FIND("×",C14))+IF(C15&lt;&gt;"",LEFT(C15,FIND("×",C15)-1)*RIGHT(C15,LEN(C15)-FIND("×",C15)),0)</f>
        <v>31450</v>
      </c>
      <c r="D13" s="45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1400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7"/>
      <c r="C14" s="68" t="s">
        <v>166</v>
      </c>
      <c r="D14" s="69"/>
      <c r="E14" s="22" t="s">
        <v>101</v>
      </c>
      <c r="F14" s="31" t="s">
        <v>167</v>
      </c>
      <c r="G14" s="32" t="s">
        <v>40</v>
      </c>
      <c r="H14" s="31" t="s">
        <v>18</v>
      </c>
      <c r="I14" s="33" t="s">
        <v>19</v>
      </c>
      <c r="J14" s="31" t="s">
        <v>38</v>
      </c>
      <c r="K14" s="33" t="s">
        <v>164</v>
      </c>
      <c r="L14" s="34" t="s">
        <v>21</v>
      </c>
    </row>
    <row r="15" spans="1:12" ht="12" customHeight="1">
      <c r="B15" s="58"/>
      <c r="C15" s="65"/>
      <c r="D15" s="45"/>
      <c r="E15" s="24" t="s">
        <v>102</v>
      </c>
      <c r="F15" s="35"/>
      <c r="G15" s="25" t="s">
        <v>41</v>
      </c>
      <c r="H15" s="35" t="s">
        <v>23</v>
      </c>
      <c r="I15" s="25" t="s">
        <v>39</v>
      </c>
      <c r="J15" s="35"/>
      <c r="K15" s="25"/>
      <c r="L15" s="36">
        <f>SUM(C13:L13)+C8+E8+F8</f>
        <v>32850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6" t="s">
        <v>24</v>
      </c>
      <c r="C17" s="46" t="s">
        <v>25</v>
      </c>
      <c r="D17" s="47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7"/>
      <c r="C18" s="44">
        <v>0</v>
      </c>
      <c r="D18" s="45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32850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7"/>
      <c r="C19" s="46"/>
      <c r="D19" s="47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8"/>
      <c r="C20" s="48"/>
      <c r="D20" s="45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59" t="s">
        <v>34</v>
      </c>
      <c r="C22" s="46" t="s">
        <v>21</v>
      </c>
      <c r="D22" s="47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8"/>
      <c r="C23" s="49">
        <f>L15</f>
        <v>32850</v>
      </c>
      <c r="D23" s="45"/>
      <c r="E23" s="38">
        <f>L20</f>
        <v>0</v>
      </c>
      <c r="F23" s="39"/>
      <c r="G23" s="38"/>
      <c r="H23" s="39"/>
      <c r="I23" s="38"/>
      <c r="J23" s="39"/>
      <c r="K23" s="38">
        <f>L23-J23</f>
        <v>32850</v>
      </c>
      <c r="L23" s="36">
        <f>C23-E23</f>
        <v>32850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8">
    <mergeCell ref="A2:B2"/>
    <mergeCell ref="B7:B10"/>
    <mergeCell ref="B12:B15"/>
    <mergeCell ref="B17:B20"/>
    <mergeCell ref="C10:D10"/>
    <mergeCell ref="C12:D12"/>
    <mergeCell ref="C7:D7"/>
    <mergeCell ref="C8:D8"/>
    <mergeCell ref="C9:D9"/>
    <mergeCell ref="C15:D15"/>
    <mergeCell ref="C17:D17"/>
    <mergeCell ref="C18:D18"/>
    <mergeCell ref="B22:B23"/>
    <mergeCell ref="B3:F3"/>
    <mergeCell ref="B4:C4"/>
    <mergeCell ref="D4:E4"/>
    <mergeCell ref="B5:C5"/>
    <mergeCell ref="D5:E5"/>
    <mergeCell ref="C19:D19"/>
    <mergeCell ref="F7:G7"/>
    <mergeCell ref="F8:G8"/>
    <mergeCell ref="F9:G9"/>
    <mergeCell ref="F10:G10"/>
    <mergeCell ref="C20:D20"/>
    <mergeCell ref="C22:D22"/>
    <mergeCell ref="C23:D23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8"/>
  <sheetViews>
    <sheetView workbookViewId="0">
      <selection activeCell="C10" sqref="C10:D10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0">
        <v>2023</v>
      </c>
      <c r="B2" s="54"/>
      <c r="C2" s="2" t="s">
        <v>0</v>
      </c>
      <c r="D2" s="3"/>
      <c r="E2" s="3" t="s">
        <v>136</v>
      </c>
    </row>
    <row r="3" spans="1:12" ht="18" customHeight="1">
      <c r="B3" s="50" t="s">
        <v>2</v>
      </c>
      <c r="C3" s="51"/>
      <c r="D3" s="51"/>
      <c r="E3" s="51"/>
      <c r="F3" s="52"/>
      <c r="H3" s="4"/>
      <c r="I3" s="5"/>
      <c r="J3" s="6"/>
    </row>
    <row r="4" spans="1:12" ht="18" customHeight="1">
      <c r="B4" s="53"/>
      <c r="C4" s="54"/>
      <c r="D4" s="55" t="s">
        <v>3</v>
      </c>
      <c r="E4" s="54"/>
      <c r="F4" s="7"/>
      <c r="G4" s="41" t="s">
        <v>4</v>
      </c>
      <c r="H4" s="9"/>
    </row>
    <row r="5" spans="1:12" ht="18" customHeight="1">
      <c r="B5" s="64" t="s">
        <v>5</v>
      </c>
      <c r="C5" s="63"/>
      <c r="D5" s="62" t="s">
        <v>103</v>
      </c>
      <c r="E5" s="63"/>
      <c r="F5" s="10" t="s">
        <v>6</v>
      </c>
      <c r="G5" s="11">
        <v>14</v>
      </c>
      <c r="J5" s="12"/>
    </row>
    <row r="6" spans="1:12" ht="1.5" customHeight="1">
      <c r="B6" s="13"/>
      <c r="J6" s="12"/>
    </row>
    <row r="7" spans="1:12" ht="12" customHeight="1">
      <c r="B7" s="61" t="s">
        <v>7</v>
      </c>
      <c r="C7" s="46" t="s">
        <v>8</v>
      </c>
      <c r="D7" s="47"/>
      <c r="E7" s="14" t="s">
        <v>45</v>
      </c>
      <c r="F7" s="46"/>
      <c r="G7" s="47"/>
      <c r="H7" s="15"/>
      <c r="I7" s="14"/>
      <c r="J7" s="15"/>
      <c r="K7" s="14"/>
      <c r="L7" s="16"/>
    </row>
    <row r="8" spans="1:12" ht="12" customHeight="1">
      <c r="B8" s="57"/>
      <c r="C8" s="48">
        <f>LEFT(C9,FIND("（ｺﾏ）×",C9)-1)*RIGHT(C9,LEN(C9)-FIND("×",C9))+IF(C10&lt;&gt;"",LEFT(C10,FIND("（時間）×",C10)-1)*RIGHT(C10,LEN(C10)-FIND("×",C10)),0)</f>
        <v>0</v>
      </c>
      <c r="D8" s="45"/>
      <c r="E8" s="17">
        <f>LEFT(E9,FIND("（＋1名）×",E9)-1)*RIGHT(E9,LEN(E9)-FIND("×",E9))</f>
        <v>0</v>
      </c>
      <c r="F8" s="48"/>
      <c r="G8" s="45"/>
      <c r="H8" s="20"/>
      <c r="I8" s="19"/>
      <c r="J8" s="20"/>
      <c r="K8" s="19"/>
      <c r="L8" s="21"/>
    </row>
    <row r="9" spans="1:12" ht="12" customHeight="1">
      <c r="B9" s="57"/>
      <c r="C9" s="68" t="s">
        <v>145</v>
      </c>
      <c r="D9" s="69"/>
      <c r="E9" s="22" t="s">
        <v>68</v>
      </c>
      <c r="F9" s="68"/>
      <c r="G9" s="69"/>
      <c r="H9" s="15"/>
      <c r="I9" s="14"/>
      <c r="J9" s="15"/>
      <c r="K9" s="14"/>
      <c r="L9" s="16"/>
    </row>
    <row r="10" spans="1:12" ht="12" customHeight="1">
      <c r="B10" s="58"/>
      <c r="C10" s="66" t="s">
        <v>97</v>
      </c>
      <c r="D10" s="70"/>
      <c r="E10" s="24"/>
      <c r="F10" s="66"/>
      <c r="G10" s="45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1" t="s">
        <v>9</v>
      </c>
      <c r="C12" s="67" t="s">
        <v>79</v>
      </c>
      <c r="D12" s="47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7"/>
      <c r="C13" s="48">
        <f>LEFT(C14,FIND("×",C14)-1)*RIGHT(C14,LEN(C14)-FIND("×",C14))+IF(C15&lt;&gt;"",LEFT(C15,FIND("×",C15)-1)*RIGHT(C15,LEN(C15)-FIND("×",C15)),0)</f>
        <v>39600</v>
      </c>
      <c r="D13" s="45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400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7"/>
      <c r="C14" s="68" t="s">
        <v>143</v>
      </c>
      <c r="D14" s="69"/>
      <c r="E14" s="22" t="s">
        <v>101</v>
      </c>
      <c r="F14" s="31" t="s">
        <v>155</v>
      </c>
      <c r="G14" s="32" t="s">
        <v>40</v>
      </c>
      <c r="H14" s="31" t="s">
        <v>133</v>
      </c>
      <c r="I14" s="33" t="s">
        <v>19</v>
      </c>
      <c r="J14" s="31" t="s">
        <v>38</v>
      </c>
      <c r="K14" s="33" t="s">
        <v>96</v>
      </c>
      <c r="L14" s="34" t="s">
        <v>21</v>
      </c>
    </row>
    <row r="15" spans="1:12" ht="12" customHeight="1">
      <c r="B15" s="58"/>
      <c r="C15" s="68"/>
      <c r="D15" s="69"/>
      <c r="E15" s="24" t="s">
        <v>144</v>
      </c>
      <c r="F15" s="35"/>
      <c r="G15" s="25" t="s">
        <v>41</v>
      </c>
      <c r="H15" s="43" t="s">
        <v>23</v>
      </c>
      <c r="I15" s="25" t="s">
        <v>39</v>
      </c>
      <c r="J15" s="35"/>
      <c r="K15" s="25"/>
      <c r="L15" s="36">
        <f>SUM(C13:L13)+C8+E8+F8</f>
        <v>40000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6" t="s">
        <v>24</v>
      </c>
      <c r="C17" s="46" t="s">
        <v>25</v>
      </c>
      <c r="D17" s="47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7"/>
      <c r="C18" s="44">
        <v>0</v>
      </c>
      <c r="D18" s="45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40000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7"/>
      <c r="C19" s="46"/>
      <c r="D19" s="47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8"/>
      <c r="C20" s="48"/>
      <c r="D20" s="45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59" t="s">
        <v>34</v>
      </c>
      <c r="C22" s="46" t="s">
        <v>21</v>
      </c>
      <c r="D22" s="47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8"/>
      <c r="C23" s="49">
        <f>L15</f>
        <v>40000</v>
      </c>
      <c r="D23" s="45"/>
      <c r="E23" s="38">
        <f>L20</f>
        <v>0</v>
      </c>
      <c r="F23" s="39"/>
      <c r="G23" s="38"/>
      <c r="H23" s="39"/>
      <c r="I23" s="38"/>
      <c r="J23" s="39"/>
      <c r="K23" s="38">
        <f>L23-J23</f>
        <v>40000</v>
      </c>
      <c r="L23" s="36">
        <f>C23-E23</f>
        <v>40000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8">
    <mergeCell ref="A2:B2"/>
    <mergeCell ref="B7:B10"/>
    <mergeCell ref="B12:B15"/>
    <mergeCell ref="B17:B20"/>
    <mergeCell ref="C10:D10"/>
    <mergeCell ref="C12:D12"/>
    <mergeCell ref="C7:D7"/>
    <mergeCell ref="C8:D8"/>
    <mergeCell ref="C9:D9"/>
    <mergeCell ref="C15:D15"/>
    <mergeCell ref="C17:D17"/>
    <mergeCell ref="C18:D18"/>
    <mergeCell ref="B22:B23"/>
    <mergeCell ref="B3:F3"/>
    <mergeCell ref="B4:C4"/>
    <mergeCell ref="D4:E4"/>
    <mergeCell ref="B5:C5"/>
    <mergeCell ref="D5:E5"/>
    <mergeCell ref="C19:D19"/>
    <mergeCell ref="F7:G7"/>
    <mergeCell ref="F8:G8"/>
    <mergeCell ref="F9:G9"/>
    <mergeCell ref="F10:G10"/>
    <mergeCell ref="C20:D20"/>
    <mergeCell ref="C22:D22"/>
    <mergeCell ref="C23:D23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8"/>
  <sheetViews>
    <sheetView workbookViewId="0">
      <selection activeCell="N4" sqref="N4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0">
        <v>2023</v>
      </c>
      <c r="B2" s="54"/>
      <c r="C2" s="2" t="s">
        <v>0</v>
      </c>
      <c r="D2" s="3"/>
      <c r="E2" s="3" t="s">
        <v>136</v>
      </c>
    </row>
    <row r="3" spans="1:12" ht="18" customHeight="1">
      <c r="B3" s="50" t="s">
        <v>2</v>
      </c>
      <c r="C3" s="51"/>
      <c r="D3" s="51"/>
      <c r="E3" s="51"/>
      <c r="F3" s="52"/>
      <c r="H3" s="4"/>
      <c r="I3" s="5"/>
      <c r="J3" s="6"/>
    </row>
    <row r="4" spans="1:12" ht="18" customHeight="1">
      <c r="B4" s="53"/>
      <c r="C4" s="54"/>
      <c r="D4" s="55" t="s">
        <v>3</v>
      </c>
      <c r="E4" s="54"/>
      <c r="F4" s="7"/>
      <c r="G4" s="41" t="s">
        <v>4</v>
      </c>
      <c r="H4" s="9"/>
    </row>
    <row r="5" spans="1:12" ht="18" customHeight="1">
      <c r="B5" s="64" t="s">
        <v>5</v>
      </c>
      <c r="C5" s="63"/>
      <c r="D5" s="62" t="s">
        <v>105</v>
      </c>
      <c r="E5" s="63"/>
      <c r="F5" s="10" t="s">
        <v>6</v>
      </c>
      <c r="G5" s="11">
        <v>4</v>
      </c>
      <c r="J5" s="12"/>
    </row>
    <row r="6" spans="1:12" ht="1.5" customHeight="1">
      <c r="B6" s="13"/>
      <c r="J6" s="12"/>
    </row>
    <row r="7" spans="1:12" ht="12" customHeight="1">
      <c r="B7" s="61" t="s">
        <v>7</v>
      </c>
      <c r="C7" s="46" t="s">
        <v>8</v>
      </c>
      <c r="D7" s="47"/>
      <c r="E7" s="14" t="s">
        <v>45</v>
      </c>
      <c r="F7" s="46"/>
      <c r="G7" s="47"/>
      <c r="H7" s="15"/>
      <c r="I7" s="14"/>
      <c r="J7" s="15"/>
      <c r="K7" s="14"/>
      <c r="L7" s="16"/>
    </row>
    <row r="8" spans="1:12" ht="12" customHeight="1">
      <c r="B8" s="57"/>
      <c r="C8" s="48">
        <f>LEFT(C9,FIND("（ｺﾏ）×",C9)-1)*RIGHT(C9,LEN(C9)-FIND("×",C9))+IF(C10&lt;&gt;"",LEFT(C10,FIND("（時間）×",C10)-1)*RIGHT(C10,LEN(C10)-FIND("×",C10)),0)</f>
        <v>0</v>
      </c>
      <c r="D8" s="45"/>
      <c r="E8" s="17">
        <f>LEFT(E9,FIND("（＋1名）×",E9)-1)*RIGHT(E9,LEN(E9)-FIND("×",E9))</f>
        <v>0</v>
      </c>
      <c r="F8" s="48"/>
      <c r="G8" s="45"/>
      <c r="H8" s="20"/>
      <c r="I8" s="19"/>
      <c r="J8" s="20"/>
      <c r="K8" s="19"/>
      <c r="L8" s="21"/>
    </row>
    <row r="9" spans="1:12" ht="12" customHeight="1">
      <c r="B9" s="57"/>
      <c r="C9" s="68" t="s">
        <v>145</v>
      </c>
      <c r="D9" s="69"/>
      <c r="E9" s="22" t="s">
        <v>68</v>
      </c>
      <c r="F9" s="68"/>
      <c r="G9" s="69"/>
      <c r="H9" s="15"/>
      <c r="I9" s="14"/>
      <c r="J9" s="15"/>
      <c r="K9" s="14"/>
      <c r="L9" s="16"/>
    </row>
    <row r="10" spans="1:12" ht="12" customHeight="1">
      <c r="B10" s="58"/>
      <c r="C10" s="66" t="s">
        <v>106</v>
      </c>
      <c r="D10" s="70"/>
      <c r="E10" s="24"/>
      <c r="F10" s="66"/>
      <c r="G10" s="45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1" t="s">
        <v>9</v>
      </c>
      <c r="C12" s="67" t="s">
        <v>79</v>
      </c>
      <c r="D12" s="47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7"/>
      <c r="C13" s="48">
        <f>LEFT(C14,FIND("×",C14)-1)*RIGHT(C14,LEN(C14)-FIND("×",C14))+IF(C15&lt;&gt;"",LEFT(C15,FIND("×",C15)-1)*RIGHT(C15,LEN(C15)-FIND("×",C15)),0)</f>
        <v>23400</v>
      </c>
      <c r="D13" s="45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900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7"/>
      <c r="C14" s="68" t="s">
        <v>168</v>
      </c>
      <c r="D14" s="69"/>
      <c r="E14" s="22" t="s">
        <v>107</v>
      </c>
      <c r="F14" s="31" t="s">
        <v>169</v>
      </c>
      <c r="G14" s="32" t="s">
        <v>40</v>
      </c>
      <c r="H14" s="31" t="s">
        <v>18</v>
      </c>
      <c r="I14" s="33" t="s">
        <v>19</v>
      </c>
      <c r="J14" s="31" t="s">
        <v>38</v>
      </c>
      <c r="K14" s="33" t="s">
        <v>96</v>
      </c>
      <c r="L14" s="34" t="s">
        <v>21</v>
      </c>
    </row>
    <row r="15" spans="1:12" ht="12" customHeight="1">
      <c r="B15" s="58"/>
      <c r="C15" s="65"/>
      <c r="D15" s="45"/>
      <c r="E15" s="24" t="s">
        <v>108</v>
      </c>
      <c r="F15" s="35"/>
      <c r="G15" s="25" t="s">
        <v>41</v>
      </c>
      <c r="H15" s="35" t="s">
        <v>23</v>
      </c>
      <c r="I15" s="25" t="s">
        <v>39</v>
      </c>
      <c r="J15" s="35"/>
      <c r="K15" s="25"/>
      <c r="L15" s="36">
        <f>SUM(C13:L13)+C8+E8+F8</f>
        <v>24300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6" t="s">
        <v>24</v>
      </c>
      <c r="C17" s="46" t="s">
        <v>25</v>
      </c>
      <c r="D17" s="47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7"/>
      <c r="C18" s="44">
        <v>0</v>
      </c>
      <c r="D18" s="45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24300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7"/>
      <c r="C19" s="46"/>
      <c r="D19" s="47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8"/>
      <c r="C20" s="48"/>
      <c r="D20" s="45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59" t="s">
        <v>34</v>
      </c>
      <c r="C22" s="46" t="s">
        <v>21</v>
      </c>
      <c r="D22" s="47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8"/>
      <c r="C23" s="49">
        <f>L15</f>
        <v>24300</v>
      </c>
      <c r="D23" s="45"/>
      <c r="E23" s="38">
        <f>L20</f>
        <v>0</v>
      </c>
      <c r="F23" s="39"/>
      <c r="G23" s="38"/>
      <c r="H23" s="39"/>
      <c r="I23" s="38"/>
      <c r="J23" s="39"/>
      <c r="K23" s="38">
        <f>L23-J23</f>
        <v>24300</v>
      </c>
      <c r="L23" s="36">
        <f>C23-E23</f>
        <v>24300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8">
    <mergeCell ref="A2:B2"/>
    <mergeCell ref="B7:B10"/>
    <mergeCell ref="B12:B15"/>
    <mergeCell ref="B17:B20"/>
    <mergeCell ref="C10:D10"/>
    <mergeCell ref="C12:D12"/>
    <mergeCell ref="C7:D7"/>
    <mergeCell ref="C8:D8"/>
    <mergeCell ref="C9:D9"/>
    <mergeCell ref="C15:D15"/>
    <mergeCell ref="C17:D17"/>
    <mergeCell ref="C18:D18"/>
    <mergeCell ref="B22:B23"/>
    <mergeCell ref="B3:F3"/>
    <mergeCell ref="B4:C4"/>
    <mergeCell ref="D4:E4"/>
    <mergeCell ref="B5:C5"/>
    <mergeCell ref="D5:E5"/>
    <mergeCell ref="C19:D19"/>
    <mergeCell ref="F7:G7"/>
    <mergeCell ref="F8:G8"/>
    <mergeCell ref="F9:G9"/>
    <mergeCell ref="F10:G10"/>
    <mergeCell ref="C20:D20"/>
    <mergeCell ref="C22:D22"/>
    <mergeCell ref="C23:D23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74"/>
  <sheetViews>
    <sheetView tabSelected="1" workbookViewId="0">
      <selection activeCell="H11" sqref="H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0">
        <v>2023</v>
      </c>
      <c r="B2" s="54"/>
      <c r="C2" s="2" t="s">
        <v>0</v>
      </c>
      <c r="D2" s="3"/>
      <c r="E2" s="3" t="s">
        <v>171</v>
      </c>
    </row>
    <row r="3" spans="1:12" ht="18" customHeight="1">
      <c r="B3" s="50" t="s">
        <v>2</v>
      </c>
      <c r="C3" s="51"/>
      <c r="D3" s="51"/>
      <c r="E3" s="51"/>
      <c r="F3" s="52"/>
      <c r="H3" s="4"/>
      <c r="I3" s="5"/>
      <c r="J3" s="6"/>
    </row>
    <row r="4" spans="1:12" ht="18" customHeight="1">
      <c r="B4" s="53"/>
      <c r="C4" s="54"/>
      <c r="D4" s="55" t="s">
        <v>3</v>
      </c>
      <c r="E4" s="54"/>
      <c r="F4" s="7"/>
      <c r="G4" s="41" t="s">
        <v>4</v>
      </c>
      <c r="H4" s="9"/>
    </row>
    <row r="5" spans="1:12" ht="18" customHeight="1">
      <c r="B5" s="64" t="s">
        <v>5</v>
      </c>
      <c r="C5" s="63"/>
      <c r="D5" s="62" t="s">
        <v>109</v>
      </c>
      <c r="E5" s="63"/>
      <c r="F5" s="10" t="s">
        <v>6</v>
      </c>
      <c r="G5" s="11">
        <v>10</v>
      </c>
      <c r="J5" s="12"/>
    </row>
    <row r="6" spans="1:12" ht="1.5" customHeight="1">
      <c r="B6" s="13"/>
      <c r="J6" s="12"/>
    </row>
    <row r="7" spans="1:12" ht="1.5" customHeight="1">
      <c r="B7" s="26"/>
      <c r="C7" s="18"/>
      <c r="D7" s="18"/>
      <c r="E7" s="18"/>
      <c r="F7" s="27"/>
      <c r="G7" s="18"/>
      <c r="H7" s="18"/>
      <c r="I7" s="18"/>
      <c r="J7" s="18"/>
      <c r="K7" s="18"/>
      <c r="L7" s="18"/>
    </row>
    <row r="8" spans="1:12" ht="12" customHeight="1">
      <c r="A8" s="28"/>
      <c r="B8" s="61" t="s">
        <v>9</v>
      </c>
      <c r="C8" s="67" t="s">
        <v>79</v>
      </c>
      <c r="D8" s="47"/>
      <c r="E8" s="29" t="s">
        <v>11</v>
      </c>
      <c r="F8" s="15" t="s">
        <v>12</v>
      </c>
      <c r="G8" s="30" t="s">
        <v>174</v>
      </c>
      <c r="H8" s="15" t="s">
        <v>14</v>
      </c>
      <c r="I8" s="14" t="s">
        <v>15</v>
      </c>
      <c r="J8" s="14" t="s">
        <v>16</v>
      </c>
      <c r="K8" s="14" t="s">
        <v>17</v>
      </c>
      <c r="L8" s="16"/>
    </row>
    <row r="9" spans="1:12" ht="12" customHeight="1">
      <c r="B9" s="57"/>
      <c r="C9" s="48">
        <f>LEFT(C10,FIND("×",C10)-1)*RIGHT(C10,LEN(C10)-FIND("×",C10))+IF(C11&lt;&gt;"",LEFT(C11,FIND("×",C11)-1)*RIGHT(C11,LEN(C11)-FIND("×",C11)),0)</f>
        <v>1800</v>
      </c>
      <c r="D9" s="45"/>
      <c r="E9" s="17">
        <f>LEFT(E10,FIND("（10分）×",E10)-1)*RIGHT(E10,LEN(E10)-FIND("×",E10))+LEFT(E11,FIND("（時間）×",E11)-1)*RIGHT(E11,LEN(E11)-FIND("×",E11))</f>
        <v>0</v>
      </c>
      <c r="F9" s="17">
        <f>LEFT(F10,FIND("×",F10)-1)*RIGHT(F10,LEN(F10)-FIND("×",F10))+IF(F11&lt;&gt;"",LEFT(F11,FIND("×",F11)-1)*RIGHT(F11,LEN(F11)-FIND("×",F11)),0)</f>
        <v>0</v>
      </c>
      <c r="G9" s="17">
        <f>LEFT(G10,FIND("（小学生）×",G10)-1)*RIGHT(G10,LEN(G10)-FIND("×",G10))+LEFT(G11,FIND("（高校生）×",G11)-1)*RIGHT(G11,LEN(G11)-FIND("×",G11))</f>
        <v>0</v>
      </c>
      <c r="H9" s="17">
        <f t="shared" ref="H9:K9" si="0">IF(H8&lt;&gt;"",LEFT(H10,FIND("×",H10)-1)*RIGHT(H10,LEN(H10)-FIND("×",H10))+IF(H11&lt;&gt;"",LEFT(H11,FIND("×",H11)-1)*RIGHT(H11,LEN(H11)-FIND("×",H11)),0),"")</f>
        <v>36225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38"/>
    </row>
    <row r="10" spans="1:12" ht="12" customHeight="1">
      <c r="B10" s="57"/>
      <c r="C10" s="68" t="s">
        <v>156</v>
      </c>
      <c r="D10" s="69"/>
      <c r="E10" s="22" t="s">
        <v>111</v>
      </c>
      <c r="F10" s="31" t="s">
        <v>112</v>
      </c>
      <c r="G10" s="32" t="s">
        <v>172</v>
      </c>
      <c r="H10" s="31" t="s">
        <v>175</v>
      </c>
      <c r="I10" s="33" t="s">
        <v>19</v>
      </c>
      <c r="J10" s="31" t="s">
        <v>38</v>
      </c>
      <c r="K10" s="33" t="s">
        <v>96</v>
      </c>
      <c r="L10" s="34" t="s">
        <v>21</v>
      </c>
    </row>
    <row r="11" spans="1:12" ht="12" customHeight="1">
      <c r="B11" s="58"/>
      <c r="C11" s="68"/>
      <c r="D11" s="69"/>
      <c r="E11" s="24" t="s">
        <v>113</v>
      </c>
      <c r="F11" s="35"/>
      <c r="G11" s="25" t="s">
        <v>173</v>
      </c>
      <c r="H11" s="31" t="s">
        <v>23</v>
      </c>
      <c r="I11" s="33" t="s">
        <v>39</v>
      </c>
      <c r="J11" s="35"/>
      <c r="K11" s="33"/>
      <c r="L11" s="36">
        <f>SUM(C9:L9)</f>
        <v>38025</v>
      </c>
    </row>
    <row r="12" spans="1:12" ht="1.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>
      <c r="B13" s="56" t="s">
        <v>24</v>
      </c>
      <c r="C13" s="46" t="s">
        <v>25</v>
      </c>
      <c r="D13" s="47"/>
      <c r="E13" s="14" t="s">
        <v>26</v>
      </c>
      <c r="F13" s="14" t="s">
        <v>27</v>
      </c>
      <c r="G13" s="14"/>
      <c r="H13" s="15" t="s">
        <v>28</v>
      </c>
      <c r="I13" s="14" t="s">
        <v>29</v>
      </c>
      <c r="J13" s="15" t="s">
        <v>30</v>
      </c>
      <c r="K13" s="14" t="s">
        <v>31</v>
      </c>
      <c r="L13" s="16" t="s">
        <v>32</v>
      </c>
    </row>
    <row r="14" spans="1:12" ht="12" customHeight="1">
      <c r="B14" s="57"/>
      <c r="C14" s="44">
        <v>0</v>
      </c>
      <c r="D14" s="45"/>
      <c r="E14" s="38">
        <v>0</v>
      </c>
      <c r="F14" s="39">
        <v>0</v>
      </c>
      <c r="G14" s="38"/>
      <c r="H14" s="39">
        <f>SUM(C14:G14)</f>
        <v>0</v>
      </c>
      <c r="I14" s="38">
        <f>L11-K9-H14</f>
        <v>38025</v>
      </c>
      <c r="J14" s="39">
        <v>0</v>
      </c>
      <c r="K14" s="38">
        <v>0</v>
      </c>
      <c r="L14" s="36">
        <f>SUM(J14:K14)</f>
        <v>0</v>
      </c>
    </row>
    <row r="15" spans="1:12" ht="12" customHeight="1">
      <c r="B15" s="57"/>
      <c r="C15" s="46"/>
      <c r="D15" s="47"/>
      <c r="E15" s="14"/>
      <c r="F15" s="15"/>
      <c r="G15" s="14"/>
      <c r="H15" s="15"/>
      <c r="I15" s="14"/>
      <c r="J15" s="15"/>
      <c r="K15" s="14"/>
      <c r="L15" s="16" t="s">
        <v>33</v>
      </c>
    </row>
    <row r="16" spans="1:12" ht="12" customHeight="1">
      <c r="B16" s="58"/>
      <c r="C16" s="48"/>
      <c r="D16" s="45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.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2" customHeight="1">
      <c r="B18" s="59" t="s">
        <v>34</v>
      </c>
      <c r="C18" s="46" t="s">
        <v>21</v>
      </c>
      <c r="D18" s="47"/>
      <c r="E18" s="14" t="s">
        <v>33</v>
      </c>
      <c r="F18" s="15"/>
      <c r="G18" s="14"/>
      <c r="H18" s="15"/>
      <c r="I18" s="14"/>
      <c r="J18" s="15"/>
      <c r="K18" s="14" t="s">
        <v>35</v>
      </c>
      <c r="L18" s="16" t="s">
        <v>36</v>
      </c>
    </row>
    <row r="19" spans="2:12" ht="12" customHeight="1">
      <c r="B19" s="58"/>
      <c r="C19" s="49">
        <f>L11</f>
        <v>38025</v>
      </c>
      <c r="D19" s="45"/>
      <c r="E19" s="38">
        <f>L16</f>
        <v>0</v>
      </c>
      <c r="F19" s="39"/>
      <c r="G19" s="38"/>
      <c r="H19" s="39"/>
      <c r="I19" s="38"/>
      <c r="J19" s="39"/>
      <c r="K19" s="38">
        <f>L19-J19</f>
        <v>38025</v>
      </c>
      <c r="L19" s="36">
        <f>C19-E19</f>
        <v>38025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8:B11"/>
    <mergeCell ref="B13:B16"/>
    <mergeCell ref="C8:D8"/>
    <mergeCell ref="C11:D11"/>
    <mergeCell ref="C13:D13"/>
    <mergeCell ref="C14:D14"/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</mergeCells>
  <phoneticPr fontId="17"/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0"/>
  <sheetViews>
    <sheetView workbookViewId="0">
      <selection activeCell="N4" sqref="N4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0">
        <v>2023</v>
      </c>
      <c r="B1" s="54"/>
      <c r="C1" s="2" t="s">
        <v>0</v>
      </c>
      <c r="D1" s="3"/>
      <c r="E1" s="3" t="s">
        <v>136</v>
      </c>
    </row>
    <row r="2" spans="1:12" ht="18" customHeight="1">
      <c r="B2" s="50" t="s">
        <v>2</v>
      </c>
      <c r="C2" s="51"/>
      <c r="D2" s="51"/>
      <c r="E2" s="51"/>
      <c r="F2" s="52"/>
      <c r="H2" s="4"/>
      <c r="I2" s="5"/>
      <c r="J2" s="6"/>
    </row>
    <row r="3" spans="1:12" ht="18" customHeight="1">
      <c r="B3" s="53"/>
      <c r="C3" s="54"/>
      <c r="D3" s="55" t="s">
        <v>3</v>
      </c>
      <c r="E3" s="54"/>
      <c r="F3" s="7"/>
      <c r="G3" s="41" t="s">
        <v>4</v>
      </c>
      <c r="H3" s="9"/>
    </row>
    <row r="4" spans="1:12" ht="18" customHeight="1">
      <c r="B4" s="64" t="s">
        <v>5</v>
      </c>
      <c r="C4" s="63"/>
      <c r="D4" s="62" t="s">
        <v>114</v>
      </c>
      <c r="E4" s="63"/>
      <c r="F4" s="10" t="s">
        <v>6</v>
      </c>
      <c r="G4" s="11">
        <v>11</v>
      </c>
      <c r="J4" s="12"/>
    </row>
    <row r="5" spans="1:12" ht="1.5" customHeight="1">
      <c r="B5" s="13"/>
      <c r="J5" s="12"/>
    </row>
    <row r="6" spans="1:12" ht="12" customHeight="1">
      <c r="B6" s="61" t="s">
        <v>7</v>
      </c>
      <c r="C6" s="46" t="s">
        <v>8</v>
      </c>
      <c r="D6" s="47"/>
      <c r="E6" s="14" t="s">
        <v>45</v>
      </c>
      <c r="F6" s="46"/>
      <c r="G6" s="47"/>
      <c r="H6" s="15"/>
      <c r="I6" s="14"/>
      <c r="J6" s="15"/>
      <c r="K6" s="14"/>
      <c r="L6" s="16"/>
    </row>
    <row r="7" spans="1:12" ht="12" customHeight="1">
      <c r="B7" s="57"/>
      <c r="C7" s="48">
        <f>LEFT(C8,FIND("（ｺﾏ）×",C8)-1)*RIGHT(C8,LEN(C8)-FIND("×",C8))+IF(C9&lt;&gt;"",LEFT(C9,FIND("（時間）×",C9)-1)*RIGHT(C9,LEN(C9)-FIND("×",C9)),0)</f>
        <v>0</v>
      </c>
      <c r="D7" s="45"/>
      <c r="E7" s="17">
        <f>LEFT(E8,FIND("（＋1名）×",E8)-1)*RIGHT(E8,LEN(E8)-FIND("×",E8))</f>
        <v>0</v>
      </c>
      <c r="F7" s="48"/>
      <c r="G7" s="45"/>
      <c r="H7" s="20"/>
      <c r="I7" s="19"/>
      <c r="J7" s="20"/>
      <c r="K7" s="19"/>
      <c r="L7" s="21"/>
    </row>
    <row r="8" spans="1:12" ht="12" customHeight="1">
      <c r="B8" s="57"/>
      <c r="C8" s="68" t="s">
        <v>145</v>
      </c>
      <c r="D8" s="69"/>
      <c r="E8" s="22" t="s">
        <v>68</v>
      </c>
      <c r="F8" s="68"/>
      <c r="G8" s="69"/>
      <c r="H8" s="15"/>
      <c r="I8" s="14"/>
      <c r="J8" s="15"/>
      <c r="K8" s="14"/>
      <c r="L8" s="16"/>
    </row>
    <row r="9" spans="1:12" ht="12" customHeight="1">
      <c r="B9" s="58"/>
      <c r="C9" s="66" t="s">
        <v>110</v>
      </c>
      <c r="D9" s="70"/>
      <c r="E9" s="24"/>
      <c r="F9" s="66"/>
      <c r="G9" s="45"/>
      <c r="H9" s="20"/>
      <c r="I9" s="19"/>
      <c r="J9" s="20"/>
      <c r="K9" s="19"/>
      <c r="L9" s="21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61" t="s">
        <v>9</v>
      </c>
      <c r="C11" s="67" t="s">
        <v>79</v>
      </c>
      <c r="D11" s="47"/>
      <c r="E11" s="29" t="s">
        <v>11</v>
      </c>
      <c r="F11" s="15" t="s">
        <v>12</v>
      </c>
      <c r="G11" s="30" t="s">
        <v>13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7"/>
      <c r="C12" s="48">
        <f>LEFT(C13,FIND("×",C13)-1)*RIGHT(C13,LEN(C13)-FIND("×",C13))+IF(C14&lt;&gt;"",LEFT(C14,FIND("×",C14)-1)*RIGHT(C14,LEN(C14)-FIND("×",C14)),0)</f>
        <v>39600</v>
      </c>
      <c r="D12" s="45"/>
      <c r="E12" s="17">
        <f>LEFT(E13,FIND("（10分）×",E13)-1)*RIGHT(E13,LEN(E13)-FIND("×",E13))+LEFT(E14,FIND("（時間）×",E14)-1)*RIGHT(E14,LEN(E14)-FIND("×",E14))</f>
        <v>0</v>
      </c>
      <c r="F12" s="17">
        <f>LEFT(F13,FIND("×",F13)-1)*RIGHT(F13,LEN(F13)-FIND("×",F13))+IF(F14&lt;&gt;"",LEFT(F14,FIND("×",F14)-1)*RIGHT(F14,LEN(F14)-FIND("×",F14)),0)</f>
        <v>4400</v>
      </c>
      <c r="G12" s="17">
        <f>LEFT(G13,FIND("（小6）×",G13)-1)*RIGHT(G13,LEN(G13)-FIND("×",G13))+LEFT(G14,FIND("（高3）×",G14)-1)*RIGHT(G14,LEN(G14)-FIND("×",G14))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0</v>
      </c>
      <c r="I12" s="17">
        <f t="shared" si="0"/>
        <v>0</v>
      </c>
      <c r="J12" s="17">
        <f t="shared" si="0"/>
        <v>0</v>
      </c>
      <c r="K12" s="17">
        <f t="shared" si="0"/>
        <v>0</v>
      </c>
      <c r="L12" s="38"/>
    </row>
    <row r="13" spans="1:12" ht="12" customHeight="1">
      <c r="B13" s="57"/>
      <c r="C13" s="68" t="s">
        <v>143</v>
      </c>
      <c r="D13" s="69"/>
      <c r="E13" s="22" t="s">
        <v>111</v>
      </c>
      <c r="F13" s="31" t="s">
        <v>162</v>
      </c>
      <c r="G13" s="32" t="s">
        <v>40</v>
      </c>
      <c r="H13" s="31" t="s">
        <v>146</v>
      </c>
      <c r="I13" s="33" t="s">
        <v>19</v>
      </c>
      <c r="J13" s="31" t="s">
        <v>38</v>
      </c>
      <c r="K13" s="33" t="s">
        <v>96</v>
      </c>
      <c r="L13" s="34" t="s">
        <v>21</v>
      </c>
    </row>
    <row r="14" spans="1:12" ht="12" customHeight="1">
      <c r="B14" s="58"/>
      <c r="C14" s="68"/>
      <c r="D14" s="69"/>
      <c r="E14" s="24" t="s">
        <v>113</v>
      </c>
      <c r="F14" s="35"/>
      <c r="G14" s="25" t="s">
        <v>41</v>
      </c>
      <c r="H14" s="31" t="s">
        <v>23</v>
      </c>
      <c r="I14" s="33" t="s">
        <v>39</v>
      </c>
      <c r="J14" s="35"/>
      <c r="K14" s="33"/>
      <c r="L14" s="36">
        <f>SUM(C12:L12)+C7+E7+F7</f>
        <v>44000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6" t="s">
        <v>24</v>
      </c>
      <c r="C16" s="46" t="s">
        <v>25</v>
      </c>
      <c r="D16" s="47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2:12" ht="12" customHeight="1">
      <c r="B17" s="57"/>
      <c r="C17" s="44">
        <v>0</v>
      </c>
      <c r="D17" s="45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44000</v>
      </c>
      <c r="J17" s="39">
        <v>0</v>
      </c>
      <c r="K17" s="38">
        <v>0</v>
      </c>
      <c r="L17" s="36">
        <f>SUM(J17:K17)</f>
        <v>0</v>
      </c>
    </row>
    <row r="18" spans="2:12" ht="12" customHeight="1">
      <c r="B18" s="57"/>
      <c r="C18" s="46"/>
      <c r="D18" s="47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2:12" ht="12" customHeight="1">
      <c r="B19" s="58"/>
      <c r="C19" s="48"/>
      <c r="D19" s="45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2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2:12" ht="12" customHeight="1">
      <c r="B21" s="59" t="s">
        <v>34</v>
      </c>
      <c r="C21" s="46" t="s">
        <v>21</v>
      </c>
      <c r="D21" s="47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2:12" ht="12" customHeight="1">
      <c r="B22" s="58"/>
      <c r="C22" s="49">
        <f>L14</f>
        <v>44000</v>
      </c>
      <c r="D22" s="45"/>
      <c r="E22" s="38">
        <f>L19</f>
        <v>0</v>
      </c>
      <c r="F22" s="39"/>
      <c r="G22" s="38"/>
      <c r="H22" s="39"/>
      <c r="I22" s="38"/>
      <c r="J22" s="39"/>
      <c r="K22" s="38">
        <f>L22-J22</f>
        <v>44000</v>
      </c>
      <c r="L22" s="36">
        <f>C22-E22</f>
        <v>44000</v>
      </c>
    </row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28">
    <mergeCell ref="F6:G6"/>
    <mergeCell ref="F7:G7"/>
    <mergeCell ref="F8:G8"/>
    <mergeCell ref="F9:G9"/>
    <mergeCell ref="A1:B1"/>
    <mergeCell ref="B2:F2"/>
    <mergeCell ref="B3:C3"/>
    <mergeCell ref="D3:E3"/>
    <mergeCell ref="B4:C4"/>
    <mergeCell ref="D4:E4"/>
    <mergeCell ref="B6:B9"/>
    <mergeCell ref="C9:D9"/>
    <mergeCell ref="B11:B14"/>
    <mergeCell ref="C11:D11"/>
    <mergeCell ref="C12:D12"/>
    <mergeCell ref="C13:D13"/>
    <mergeCell ref="C6:D6"/>
    <mergeCell ref="C14:D14"/>
    <mergeCell ref="C7:D7"/>
    <mergeCell ref="C8:D8"/>
    <mergeCell ref="C18:D18"/>
    <mergeCell ref="B16:B19"/>
    <mergeCell ref="B21:B22"/>
    <mergeCell ref="C21:D21"/>
    <mergeCell ref="C22:D22"/>
    <mergeCell ref="C19:D19"/>
    <mergeCell ref="C16:D16"/>
    <mergeCell ref="C17:D17"/>
  </mergeCells>
  <phoneticPr fontId="17"/>
  <pageMargins left="0.7" right="0.7" top="0.75" bottom="0.75" header="0" footer="0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topLeftCell="A8" workbookViewId="0">
      <selection activeCell="D27" sqref="D27:E27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0">
        <v>2022</v>
      </c>
      <c r="B1" s="54"/>
      <c r="C1" s="2" t="s">
        <v>0</v>
      </c>
      <c r="D1" s="3"/>
      <c r="E1" s="3" t="s">
        <v>1</v>
      </c>
    </row>
    <row r="2" spans="1:12" ht="18" customHeight="1">
      <c r="B2" s="50" t="s">
        <v>2</v>
      </c>
      <c r="C2" s="51"/>
      <c r="D2" s="51"/>
      <c r="E2" s="51"/>
      <c r="F2" s="52"/>
      <c r="H2" s="4"/>
      <c r="I2" s="5"/>
      <c r="J2" s="6"/>
    </row>
    <row r="3" spans="1:12" ht="18" customHeight="1">
      <c r="B3" s="53"/>
      <c r="C3" s="54"/>
      <c r="D3" s="55" t="s">
        <v>3</v>
      </c>
      <c r="E3" s="54"/>
      <c r="F3" s="7"/>
      <c r="G3" s="41" t="s">
        <v>4</v>
      </c>
      <c r="H3" s="9"/>
    </row>
    <row r="4" spans="1:12" ht="18" customHeight="1">
      <c r="B4" s="64" t="s">
        <v>5</v>
      </c>
      <c r="C4" s="63"/>
      <c r="D4" s="62" t="s">
        <v>118</v>
      </c>
      <c r="E4" s="63"/>
      <c r="F4" s="10" t="s">
        <v>6</v>
      </c>
      <c r="G4" s="11">
        <v>6</v>
      </c>
      <c r="J4" s="12"/>
    </row>
    <row r="5" spans="1:12" ht="1.5" customHeight="1">
      <c r="B5" s="13"/>
      <c r="J5" s="12"/>
    </row>
    <row r="6" spans="1:12" ht="12" customHeight="1">
      <c r="B6" s="61" t="s">
        <v>7</v>
      </c>
      <c r="C6" s="46" t="s">
        <v>8</v>
      </c>
      <c r="D6" s="47"/>
      <c r="E6" s="14" t="s">
        <v>45</v>
      </c>
      <c r="F6" s="15"/>
      <c r="G6" s="14"/>
      <c r="H6" s="15"/>
      <c r="I6" s="14"/>
      <c r="J6" s="15"/>
      <c r="K6" s="14"/>
      <c r="L6" s="16"/>
    </row>
    <row r="7" spans="1:12" ht="12" customHeight="1">
      <c r="B7" s="57"/>
      <c r="C7" s="48">
        <f>LEFT(C8,FIND("（ｺﾏ）×",C8)-1)*RIGHT(C8,LEN(C8)-FIND("×",C8))+IF(C9&lt;&gt;"",LEFT(C9,FIND("（時間）×",C9)-1)*RIGHT(C9,LEN(C9)-FIND("×",C9)),0)</f>
        <v>0</v>
      </c>
      <c r="D7" s="45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57"/>
      <c r="C8" s="68" t="s">
        <v>119</v>
      </c>
      <c r="D8" s="69"/>
      <c r="E8" s="22" t="s">
        <v>68</v>
      </c>
      <c r="F8" s="23"/>
      <c r="G8" s="16"/>
      <c r="H8" s="15"/>
      <c r="I8" s="14"/>
      <c r="J8" s="15"/>
      <c r="K8" s="14"/>
      <c r="L8" s="16"/>
    </row>
    <row r="9" spans="1:12" ht="12" customHeight="1">
      <c r="B9" s="58"/>
      <c r="C9" s="66" t="s">
        <v>22</v>
      </c>
      <c r="D9" s="70"/>
      <c r="E9" s="24"/>
      <c r="F9" s="25"/>
      <c r="G9" s="21"/>
      <c r="H9" s="20"/>
      <c r="I9" s="19"/>
      <c r="J9" s="20"/>
      <c r="K9" s="19"/>
      <c r="L9" s="21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61" t="s">
        <v>9</v>
      </c>
      <c r="C11" s="67" t="s">
        <v>10</v>
      </c>
      <c r="D11" s="47"/>
      <c r="E11" s="29" t="s">
        <v>11</v>
      </c>
      <c r="F11" s="15" t="s">
        <v>12</v>
      </c>
      <c r="G11" s="30" t="s">
        <v>120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7"/>
      <c r="C12" s="48">
        <f>LEFT(C13,FIND("（ｺﾏ）×",C13)-1)*RIGHT(C13,LEN(C13)-FIND("×",C13))+IF(C14&lt;&gt;"",LEFT(C14,FIND("×",C14)-1)*RIGHT(C14,LEN(C14)-FIND("×",C14)),0)</f>
        <v>19580</v>
      </c>
      <c r="D12" s="45"/>
      <c r="E12" s="17">
        <f>LEFT(E13,FIND("（10分）×",E13)-1)*RIGHT(E13,LEN(E13)-FIND("×",E13))+LEFT(E14,FIND("（時間）×",E14)-1)*RIGHT(E14,LEN(E14)-FIND("×",E14))</f>
        <v>0</v>
      </c>
      <c r="F12" s="17">
        <f>LEFT(F13,FIND("×",F13)-1)*RIGHT(F13,LEN(F13)-FIND("×",F13))+IF(F14&lt;&gt;"",LEFT(F14,FIND("×",F14)-1)*RIGHT(F14,LEN(F14)-FIND("×",F14)),0)</f>
        <v>250</v>
      </c>
      <c r="G12" s="17">
        <f>LEFT(G13,FIND("（小６）×",G13)-1)*RIGHT(G13,LEN(G13)-FIND("×",G13))+LEFT(G14,FIND("（高3）×",G14)-1)*RIGHT(G14,LEN(G14)-FIND("×",G14))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0</v>
      </c>
      <c r="I12" s="17">
        <f t="shared" si="0"/>
        <v>1500</v>
      </c>
      <c r="J12" s="17">
        <f t="shared" si="0"/>
        <v>0</v>
      </c>
      <c r="K12" s="17">
        <f t="shared" si="0"/>
        <v>0</v>
      </c>
      <c r="L12" s="38"/>
    </row>
    <row r="13" spans="1:12" ht="12" customHeight="1">
      <c r="B13" s="57"/>
      <c r="C13" s="68" t="s">
        <v>121</v>
      </c>
      <c r="D13" s="69"/>
      <c r="E13" s="22" t="s">
        <v>122</v>
      </c>
      <c r="F13" s="31" t="s">
        <v>123</v>
      </c>
      <c r="G13" s="32" t="s">
        <v>124</v>
      </c>
      <c r="H13" s="31" t="s">
        <v>18</v>
      </c>
      <c r="I13" s="33" t="s">
        <v>19</v>
      </c>
      <c r="J13" s="31" t="s">
        <v>38</v>
      </c>
      <c r="K13" s="33" t="s">
        <v>96</v>
      </c>
      <c r="L13" s="34" t="s">
        <v>21</v>
      </c>
    </row>
    <row r="14" spans="1:12" ht="12" customHeight="1">
      <c r="B14" s="58"/>
      <c r="C14" s="65"/>
      <c r="D14" s="70"/>
      <c r="E14" s="24" t="s">
        <v>125</v>
      </c>
      <c r="F14" s="35"/>
      <c r="G14" s="25" t="s">
        <v>41</v>
      </c>
      <c r="H14" s="20"/>
      <c r="I14" s="25" t="s">
        <v>104</v>
      </c>
      <c r="J14" s="35"/>
      <c r="K14" s="25"/>
      <c r="L14" s="36">
        <f>SUM(C12:L12)+C7+E7</f>
        <v>21330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6" t="s">
        <v>24</v>
      </c>
      <c r="C16" s="46" t="s">
        <v>25</v>
      </c>
      <c r="D16" s="47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customHeight="1">
      <c r="B17" s="57"/>
      <c r="C17" s="44">
        <v>0</v>
      </c>
      <c r="D17" s="45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21330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57"/>
      <c r="C18" s="46"/>
      <c r="D18" s="47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customHeight="1">
      <c r="B19" s="58"/>
      <c r="C19" s="48"/>
      <c r="D19" s="45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59" t="s">
        <v>34</v>
      </c>
      <c r="C21" s="46" t="s">
        <v>21</v>
      </c>
      <c r="D21" s="47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customHeight="1">
      <c r="B22" s="58"/>
      <c r="C22" s="49">
        <f>L14</f>
        <v>21330</v>
      </c>
      <c r="D22" s="45"/>
      <c r="E22" s="38">
        <f>L19</f>
        <v>0</v>
      </c>
      <c r="F22" s="39"/>
      <c r="G22" s="38"/>
      <c r="H22" s="39"/>
      <c r="I22" s="38"/>
      <c r="J22" s="39"/>
      <c r="K22" s="38">
        <f>L22-J22</f>
        <v>21330</v>
      </c>
      <c r="L22" s="36">
        <f>C22-E22</f>
        <v>21330</v>
      </c>
    </row>
    <row r="23" spans="1:12" ht="18.75" customHeight="1"/>
    <row r="24" spans="1:12" ht="18" customHeight="1">
      <c r="A24" s="60">
        <v>2023</v>
      </c>
      <c r="B24" s="54"/>
      <c r="C24" s="2" t="s">
        <v>0</v>
      </c>
      <c r="D24" s="3"/>
      <c r="E24" s="3" t="s">
        <v>37</v>
      </c>
    </row>
    <row r="25" spans="1:12" ht="18" customHeight="1">
      <c r="B25" s="50" t="s">
        <v>2</v>
      </c>
      <c r="C25" s="51"/>
      <c r="D25" s="51"/>
      <c r="E25" s="51"/>
      <c r="F25" s="52"/>
      <c r="H25" s="4"/>
      <c r="I25" s="5"/>
      <c r="J25" s="6"/>
    </row>
    <row r="26" spans="1:12" ht="18" customHeight="1">
      <c r="B26" s="53"/>
      <c r="C26" s="54"/>
      <c r="D26" s="55" t="s">
        <v>3</v>
      </c>
      <c r="E26" s="54"/>
      <c r="F26" s="7"/>
      <c r="G26" s="41" t="s">
        <v>4</v>
      </c>
      <c r="H26" s="9"/>
    </row>
    <row r="27" spans="1:12" ht="18" customHeight="1">
      <c r="B27" s="64" t="s">
        <v>5</v>
      </c>
      <c r="C27" s="63"/>
      <c r="D27" s="62" t="s">
        <v>118</v>
      </c>
      <c r="E27" s="63"/>
      <c r="F27" s="10" t="s">
        <v>6</v>
      </c>
      <c r="G27" s="11">
        <v>4</v>
      </c>
      <c r="J27" s="12"/>
    </row>
    <row r="28" spans="1:12" ht="1.5" customHeight="1">
      <c r="B28" s="13"/>
      <c r="J28" s="12"/>
    </row>
    <row r="29" spans="1:12" ht="12" customHeight="1">
      <c r="B29" s="61" t="s">
        <v>7</v>
      </c>
      <c r="C29" s="46" t="s">
        <v>8</v>
      </c>
      <c r="D29" s="47"/>
      <c r="E29" s="14" t="s">
        <v>45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57"/>
      <c r="C30" s="48">
        <f>LEFT(C31,FIND("（ｺﾏ）×",C31)-1)*RIGHT(C31,LEN(C31)-FIND("×",C31))+IF(C32&lt;&gt;"",LEFT(C32,FIND("（時間）×",C32)-1)*RIGHT(C32,LEN(C32)-FIND("×",C32)),0)</f>
        <v>0</v>
      </c>
      <c r="D30" s="45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57"/>
      <c r="C31" s="68" t="s">
        <v>119</v>
      </c>
      <c r="D31" s="69"/>
      <c r="E31" s="22" t="s">
        <v>68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8"/>
      <c r="C32" s="66" t="s">
        <v>22</v>
      </c>
      <c r="D32" s="70"/>
      <c r="E32" s="24"/>
      <c r="F32" s="25"/>
      <c r="G32" s="21"/>
      <c r="H32" s="20"/>
      <c r="I32" s="19"/>
      <c r="J32" s="20"/>
      <c r="K32" s="19"/>
      <c r="L32" s="21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61" t="s">
        <v>9</v>
      </c>
      <c r="C34" s="67" t="s">
        <v>10</v>
      </c>
      <c r="D34" s="47"/>
      <c r="E34" s="29" t="s">
        <v>11</v>
      </c>
      <c r="F34" s="15" t="s">
        <v>12</v>
      </c>
      <c r="G34" s="30" t="s">
        <v>120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57"/>
      <c r="C35" s="48">
        <f>LEFT(C36,FIND("（ｺﾏ）×",C36)-1)*RIGHT(C36,LEN(C36)-FIND("×",C36))+IF(C37&lt;&gt;"",LEFT(C37,FIND("×",C37)-1)*RIGHT(C37,LEN(C37)-FIND("×",C37)),0)</f>
        <v>12460</v>
      </c>
      <c r="D35" s="45"/>
      <c r="E35" s="17">
        <f>LEFT(E36,FIND("（10分）×",E36)-1)*RIGHT(E36,LEN(E36)-FIND("×",E36))+LEFT(E37,FIND("（時間）×",E37)-1)*RIGHT(E37,LEN(E37)-FIND("×",E37))</f>
        <v>0</v>
      </c>
      <c r="F35" s="17">
        <f>LEFT(F36,FIND("×",F36)-1)*RIGHT(F36,LEN(F36)-FIND("×",F36))+IF(F37&lt;&gt;"",LEFT(F37,FIND("×",F37)-1)*RIGHT(F37,LEN(F37)-FIND("×",F37)),0)</f>
        <v>250</v>
      </c>
      <c r="G35" s="17">
        <f>LEFT(G36,FIND("（小６）×",G36)-1)*RIGHT(G36,LEN(G36)-FIND("×",G36))+LEFT(G37,FIND("（高3）×",G37)-1)*RIGHT(G37,LEN(G37)-FIND("×",G37))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600</v>
      </c>
      <c r="K35" s="17">
        <f t="shared" si="1"/>
        <v>0</v>
      </c>
      <c r="L35" s="38"/>
    </row>
    <row r="36" spans="1:12" ht="12" customHeight="1">
      <c r="B36" s="57"/>
      <c r="C36" s="68" t="s">
        <v>126</v>
      </c>
      <c r="D36" s="69"/>
      <c r="E36" s="22" t="s">
        <v>122</v>
      </c>
      <c r="F36" s="31" t="s">
        <v>123</v>
      </c>
      <c r="G36" s="32" t="s">
        <v>124</v>
      </c>
      <c r="H36" s="31" t="s">
        <v>18</v>
      </c>
      <c r="I36" s="33" t="s">
        <v>19</v>
      </c>
      <c r="J36" s="31" t="s">
        <v>20</v>
      </c>
      <c r="K36" s="33" t="s">
        <v>96</v>
      </c>
      <c r="L36" s="34" t="s">
        <v>21</v>
      </c>
    </row>
    <row r="37" spans="1:12" ht="12" customHeight="1">
      <c r="B37" s="58"/>
      <c r="C37" s="65"/>
      <c r="D37" s="70"/>
      <c r="E37" s="24" t="s">
        <v>125</v>
      </c>
      <c r="F37" s="35"/>
      <c r="G37" s="25" t="s">
        <v>41</v>
      </c>
      <c r="H37" s="20"/>
      <c r="I37" s="25" t="s">
        <v>39</v>
      </c>
      <c r="J37" s="35"/>
      <c r="K37" s="25"/>
      <c r="L37" s="36">
        <f>SUM(C35:L35)+C30+E30</f>
        <v>13310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56" t="s">
        <v>24</v>
      </c>
      <c r="C39" s="46" t="s">
        <v>25</v>
      </c>
      <c r="D39" s="47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customHeight="1">
      <c r="B40" s="57"/>
      <c r="C40" s="44">
        <v>0</v>
      </c>
      <c r="D40" s="45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13310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57"/>
      <c r="C41" s="46"/>
      <c r="D41" s="47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customHeight="1">
      <c r="B42" s="58"/>
      <c r="C42" s="48"/>
      <c r="D42" s="45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59" t="s">
        <v>34</v>
      </c>
      <c r="C44" s="46" t="s">
        <v>21</v>
      </c>
      <c r="D44" s="47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customHeight="1">
      <c r="B45" s="58"/>
      <c r="C45" s="49">
        <f>L37</f>
        <v>13310</v>
      </c>
      <c r="D45" s="45"/>
      <c r="E45" s="38">
        <f>L42</f>
        <v>0</v>
      </c>
      <c r="F45" s="39"/>
      <c r="G45" s="38"/>
      <c r="H45" s="39"/>
      <c r="I45" s="38"/>
      <c r="J45" s="39"/>
      <c r="K45" s="38">
        <f>L45-J45</f>
        <v>13310</v>
      </c>
      <c r="L45" s="36">
        <f>C45-E45</f>
        <v>13310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</mergeCells>
  <phoneticPr fontId="17"/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78"/>
  <sheetViews>
    <sheetView workbookViewId="0">
      <selection activeCell="O4" sqref="O4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1">
        <v>2023</v>
      </c>
      <c r="B2" s="1"/>
      <c r="C2" s="2" t="s">
        <v>0</v>
      </c>
      <c r="D2" s="3"/>
      <c r="E2" s="3" t="s">
        <v>150</v>
      </c>
    </row>
    <row r="3" spans="1:12" ht="18" customHeight="1">
      <c r="B3" s="50" t="s">
        <v>2</v>
      </c>
      <c r="C3" s="51"/>
      <c r="D3" s="51"/>
      <c r="E3" s="51"/>
      <c r="F3" s="52"/>
      <c r="H3" s="4"/>
      <c r="I3" s="5"/>
      <c r="J3" s="6"/>
    </row>
    <row r="4" spans="1:12" ht="18" customHeight="1">
      <c r="B4" s="53"/>
      <c r="C4" s="54"/>
      <c r="D4" s="55" t="s">
        <v>3</v>
      </c>
      <c r="E4" s="54"/>
      <c r="F4" s="7"/>
      <c r="G4" s="41" t="s">
        <v>4</v>
      </c>
    </row>
    <row r="5" spans="1:12" ht="18" customHeight="1">
      <c r="B5" s="64" t="s">
        <v>5</v>
      </c>
      <c r="C5" s="63"/>
      <c r="D5" s="62" t="s">
        <v>151</v>
      </c>
      <c r="E5" s="63"/>
      <c r="F5" s="10" t="s">
        <v>6</v>
      </c>
      <c r="G5" s="11">
        <v>9</v>
      </c>
      <c r="J5" s="12"/>
    </row>
    <row r="6" spans="1:12" ht="1.5" customHeight="1">
      <c r="B6" s="13"/>
      <c r="J6" s="12"/>
    </row>
    <row r="7" spans="1:12" ht="12" customHeight="1">
      <c r="B7" s="56" t="s">
        <v>75</v>
      </c>
      <c r="C7" s="46" t="s">
        <v>8</v>
      </c>
      <c r="D7" s="47"/>
      <c r="E7" s="14" t="s">
        <v>45</v>
      </c>
      <c r="F7" s="15"/>
      <c r="G7" s="14"/>
      <c r="H7" s="15"/>
      <c r="I7" s="14"/>
      <c r="J7" s="15"/>
      <c r="K7" s="14"/>
      <c r="L7" s="16"/>
    </row>
    <row r="8" spans="1:12" ht="12" customHeight="1">
      <c r="B8" s="57"/>
      <c r="C8" s="48">
        <f>LEFT(C9,FIND("（ｺﾏ）×",C9)-1)*RIGHT(C9,LEN(C9)-FIND("×",C9))+IF(C10&lt;&gt;"",LEFT(C10,FIND("（時間）×",C10)-1)*RIGHT(C10,LEN(C10)-FIND("×",C10)),0)</f>
        <v>0</v>
      </c>
      <c r="D8" s="45"/>
      <c r="E8" s="17">
        <f>LEFT(E9,FIND("（＋1名）×",E9)-1)*RIGHT(E9,LEN(E9)-FIND("×",E9))</f>
        <v>0</v>
      </c>
      <c r="F8" s="18"/>
      <c r="G8" s="19"/>
      <c r="H8" s="20"/>
      <c r="I8" s="19"/>
      <c r="J8" s="20"/>
      <c r="K8" s="19"/>
      <c r="L8" s="21"/>
    </row>
    <row r="9" spans="1:12" ht="12" customHeight="1">
      <c r="B9" s="57"/>
      <c r="C9" s="68" t="s">
        <v>145</v>
      </c>
      <c r="D9" s="69"/>
      <c r="E9" s="22" t="s">
        <v>68</v>
      </c>
      <c r="F9" s="23"/>
      <c r="G9" s="16"/>
      <c r="H9" s="15"/>
      <c r="I9" s="14"/>
      <c r="J9" s="15"/>
      <c r="K9" s="14"/>
      <c r="L9" s="16"/>
    </row>
    <row r="10" spans="1:12" ht="12" customHeight="1">
      <c r="B10" s="58"/>
      <c r="C10" s="66" t="s">
        <v>115</v>
      </c>
      <c r="D10" s="70"/>
      <c r="E10" s="24"/>
      <c r="F10" s="25"/>
      <c r="G10" s="21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56" t="s">
        <v>78</v>
      </c>
      <c r="C12" s="67" t="s">
        <v>79</v>
      </c>
      <c r="D12" s="47"/>
      <c r="E12" s="29" t="s">
        <v>80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7"/>
      <c r="C13" s="48">
        <f>LEFT(C14,FIND("×",C14)-1)*RIGHT(C14,LEN(C14)-FIND("×",C14))+IF(C15&lt;&gt;"",LEFT(C15,FIND("×",C15)-1)*RIGHT(C15,LEN(C15)-FIND("×",C15)),0)</f>
        <v>34200</v>
      </c>
      <c r="D13" s="45"/>
      <c r="E13" s="17">
        <f>LEFT(E14,FIND("（10分）×",E14)-1)*RIGHT(E14,LEN(E14)-FIND("×",E14))+LEFT(E15,FIND("（60分）×",E15)-1)*RIGHT(E15,LEN(E15)-FIND("×",E15))</f>
        <v>0</v>
      </c>
      <c r="F13" s="17">
        <f>LEFT(F14,FIND("×",F14)-1)*RIGHT(F14,LEN(F14)-FIND("×",F14))+IF(F15&lt;&gt;"",LEFT(F15,FIND("×",F15)-1)*RIGHT(F15,LEN(F15)-FIND("×",F15)),0)</f>
        <v>4800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7"/>
      <c r="C14" s="68" t="s">
        <v>153</v>
      </c>
      <c r="D14" s="69"/>
      <c r="E14" s="22" t="s">
        <v>116</v>
      </c>
      <c r="F14" s="31" t="s">
        <v>152</v>
      </c>
      <c r="G14" s="32" t="s">
        <v>40</v>
      </c>
      <c r="H14" s="31" t="s">
        <v>18</v>
      </c>
      <c r="I14" s="33" t="s">
        <v>19</v>
      </c>
      <c r="J14" s="31" t="s">
        <v>38</v>
      </c>
      <c r="K14" s="33" t="s">
        <v>96</v>
      </c>
      <c r="L14" s="34" t="s">
        <v>21</v>
      </c>
    </row>
    <row r="15" spans="1:12" ht="12" customHeight="1">
      <c r="B15" s="58"/>
      <c r="C15" s="65"/>
      <c r="D15" s="70"/>
      <c r="E15" s="24" t="s">
        <v>117</v>
      </c>
      <c r="F15" s="35"/>
      <c r="G15" s="25" t="s">
        <v>154</v>
      </c>
      <c r="H15" s="20"/>
      <c r="I15" s="25"/>
      <c r="J15" s="35"/>
      <c r="K15" s="25"/>
      <c r="L15" s="36">
        <f>SUM(C13:L13)+C8+E8</f>
        <v>39000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6" t="s">
        <v>24</v>
      </c>
      <c r="C17" s="46" t="s">
        <v>25</v>
      </c>
      <c r="D17" s="47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7"/>
      <c r="C18" s="44">
        <v>0</v>
      </c>
      <c r="D18" s="45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39000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7"/>
      <c r="C19" s="46"/>
      <c r="D19" s="47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8"/>
      <c r="C20" s="48"/>
      <c r="D20" s="45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59" t="s">
        <v>34</v>
      </c>
      <c r="C22" s="46" t="s">
        <v>21</v>
      </c>
      <c r="D22" s="47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8"/>
      <c r="C23" s="49">
        <f>L15</f>
        <v>39000</v>
      </c>
      <c r="D23" s="45"/>
      <c r="E23" s="38">
        <f>L20</f>
        <v>0</v>
      </c>
      <c r="F23" s="39"/>
      <c r="G23" s="38"/>
      <c r="H23" s="39"/>
      <c r="I23" s="38"/>
      <c r="J23" s="39"/>
      <c r="K23" s="38">
        <f>L23-J23</f>
        <v>39000</v>
      </c>
      <c r="L23" s="36">
        <f>C23-E23</f>
        <v>39000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3">
    <mergeCell ref="B12:B15"/>
    <mergeCell ref="B17:B20"/>
    <mergeCell ref="B22:B23"/>
    <mergeCell ref="B3:F3"/>
    <mergeCell ref="B4:C4"/>
    <mergeCell ref="D4:E4"/>
    <mergeCell ref="B5:C5"/>
    <mergeCell ref="B7:B10"/>
    <mergeCell ref="D5:E5"/>
    <mergeCell ref="C22:D22"/>
    <mergeCell ref="C23:D23"/>
    <mergeCell ref="C7:D7"/>
    <mergeCell ref="C8:D8"/>
    <mergeCell ref="C9:D9"/>
    <mergeCell ref="C10:D10"/>
    <mergeCell ref="C12:D12"/>
    <mergeCell ref="C19:D19"/>
    <mergeCell ref="C20:D20"/>
    <mergeCell ref="C13:D13"/>
    <mergeCell ref="C14:D14"/>
    <mergeCell ref="C15:D15"/>
    <mergeCell ref="C17:D17"/>
    <mergeCell ref="C18:D18"/>
  </mergeCells>
  <phoneticPr fontId="17"/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978"/>
  <sheetViews>
    <sheetView workbookViewId="0">
      <selection activeCell="M3" sqref="M3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0">
        <v>2023</v>
      </c>
      <c r="B2" s="54"/>
      <c r="C2" s="2" t="s">
        <v>0</v>
      </c>
      <c r="D2" s="3"/>
      <c r="E2" s="3" t="s">
        <v>136</v>
      </c>
    </row>
    <row r="3" spans="1:12" ht="18" customHeight="1">
      <c r="B3" s="50" t="s">
        <v>2</v>
      </c>
      <c r="C3" s="51"/>
      <c r="D3" s="51"/>
      <c r="E3" s="51"/>
      <c r="F3" s="52"/>
      <c r="H3" s="4"/>
      <c r="I3" s="5"/>
      <c r="J3" s="6"/>
    </row>
    <row r="4" spans="1:12" ht="18" customHeight="1">
      <c r="B4" s="53"/>
      <c r="C4" s="54"/>
      <c r="D4" s="55" t="s">
        <v>3</v>
      </c>
      <c r="E4" s="54"/>
      <c r="F4" s="7"/>
      <c r="G4" s="41" t="s">
        <v>4</v>
      </c>
      <c r="H4" s="9"/>
    </row>
    <row r="5" spans="1:12" ht="18" customHeight="1">
      <c r="B5" s="64" t="s">
        <v>5</v>
      </c>
      <c r="C5" s="63"/>
      <c r="D5" s="62" t="s">
        <v>147</v>
      </c>
      <c r="E5" s="63"/>
      <c r="F5" s="10" t="s">
        <v>6</v>
      </c>
      <c r="G5" s="11">
        <v>6</v>
      </c>
      <c r="J5" s="12"/>
    </row>
    <row r="6" spans="1:12" ht="1.5" customHeight="1">
      <c r="B6" s="13"/>
      <c r="J6" s="12"/>
    </row>
    <row r="7" spans="1:12" ht="12" customHeight="1">
      <c r="B7" s="61" t="s">
        <v>7</v>
      </c>
      <c r="C7" s="46" t="s">
        <v>8</v>
      </c>
      <c r="D7" s="47"/>
      <c r="E7" s="14" t="s">
        <v>45</v>
      </c>
      <c r="F7" s="15"/>
      <c r="G7" s="14"/>
      <c r="H7" s="15"/>
      <c r="I7" s="14"/>
      <c r="J7" s="15"/>
      <c r="K7" s="14"/>
      <c r="L7" s="16"/>
    </row>
    <row r="8" spans="1:12" ht="12" customHeight="1">
      <c r="B8" s="57"/>
      <c r="C8" s="48">
        <f>LEFT(C9,FIND("（ｺﾏ）×",C9)-1)*RIGHT(C9,LEN(C9)-FIND("×",C9))+IF(C10&lt;&gt;"",LEFT(C10,FIND("（時間）×",C10)-1)*RIGHT(C10,LEN(C10)-FIND("×",C10)),0)</f>
        <v>0</v>
      </c>
      <c r="D8" s="45"/>
      <c r="E8" s="17">
        <f>LEFT(E9,FIND("（＋1名）×",E9)-1)*RIGHT(E9,LEN(E9)-FIND("×",E9))</f>
        <v>0</v>
      </c>
      <c r="F8" s="18"/>
      <c r="G8" s="19"/>
      <c r="H8" s="20"/>
      <c r="I8" s="19"/>
      <c r="J8" s="20"/>
      <c r="K8" s="19"/>
      <c r="L8" s="21"/>
    </row>
    <row r="9" spans="1:12" ht="12" customHeight="1">
      <c r="B9" s="57"/>
      <c r="C9" s="68" t="s">
        <v>127</v>
      </c>
      <c r="D9" s="69"/>
      <c r="E9" s="22" t="s">
        <v>68</v>
      </c>
      <c r="F9" s="23"/>
      <c r="G9" s="16"/>
      <c r="H9" s="15"/>
      <c r="I9" s="14"/>
      <c r="J9" s="15"/>
      <c r="K9" s="14"/>
      <c r="L9" s="16"/>
    </row>
    <row r="10" spans="1:12" ht="12" customHeight="1">
      <c r="B10" s="58"/>
      <c r="C10" s="66" t="s">
        <v>106</v>
      </c>
      <c r="D10" s="70"/>
      <c r="E10" s="24"/>
      <c r="F10" s="25"/>
      <c r="G10" s="21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1" t="s">
        <v>9</v>
      </c>
      <c r="C12" s="67" t="s">
        <v>10</v>
      </c>
      <c r="D12" s="47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7"/>
      <c r="C13" s="48">
        <f>LEFT(C14,FIND("（ｺﾏ）×",C14)-1)*RIGHT(C14,LEN(C14)-FIND("×",C14))+IF(C15&lt;&gt;"",LEFT(C15,FIND("×",C15)-1)*RIGHT(C15,LEN(C15)-FIND("×",C15)),0)</f>
        <v>21600</v>
      </c>
      <c r="D13" s="45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3600</v>
      </c>
      <c r="G13" s="17">
        <f>LEFT(G14,FIND("（小６）×",G14)-1)*RIGHT(G14,LEN(G14)-FIND("×",G14))+LEFT(G15,FIND("（高3）×",G15)-1)*RIGHT(G15,LEN(G15)-FIND("×",G15))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5180</v>
      </c>
      <c r="L13" s="38"/>
    </row>
    <row r="14" spans="1:12" ht="12" customHeight="1">
      <c r="B14" s="57"/>
      <c r="C14" s="68" t="s">
        <v>148</v>
      </c>
      <c r="D14" s="69"/>
      <c r="E14" s="22" t="s">
        <v>107</v>
      </c>
      <c r="F14" s="31" t="s">
        <v>149</v>
      </c>
      <c r="G14" s="32" t="s">
        <v>124</v>
      </c>
      <c r="H14" s="31" t="s">
        <v>18</v>
      </c>
      <c r="I14" s="33" t="s">
        <v>19</v>
      </c>
      <c r="J14" s="31" t="s">
        <v>38</v>
      </c>
      <c r="K14" s="33" t="s">
        <v>128</v>
      </c>
      <c r="L14" s="34" t="s">
        <v>21</v>
      </c>
    </row>
    <row r="15" spans="1:12" ht="12" customHeight="1">
      <c r="B15" s="58"/>
      <c r="C15" s="65"/>
      <c r="D15" s="70"/>
      <c r="E15" s="24" t="s">
        <v>129</v>
      </c>
      <c r="F15" s="35"/>
      <c r="G15" s="25" t="s">
        <v>41</v>
      </c>
      <c r="H15" s="20"/>
      <c r="I15" s="25" t="s">
        <v>39</v>
      </c>
      <c r="J15" s="35"/>
      <c r="K15" s="25"/>
      <c r="L15" s="36">
        <f>SUM(C13:L13)+C8+E8</f>
        <v>30380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6" t="s">
        <v>24</v>
      </c>
      <c r="C17" s="46" t="s">
        <v>25</v>
      </c>
      <c r="D17" s="47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7"/>
      <c r="C18" s="44">
        <v>0</v>
      </c>
      <c r="D18" s="45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25200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7"/>
      <c r="C19" s="46"/>
      <c r="D19" s="47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8"/>
      <c r="C20" s="48"/>
      <c r="D20" s="45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59" t="s">
        <v>34</v>
      </c>
      <c r="C22" s="46" t="s">
        <v>21</v>
      </c>
      <c r="D22" s="47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8"/>
      <c r="C23" s="49">
        <f>L15</f>
        <v>30380</v>
      </c>
      <c r="D23" s="45"/>
      <c r="E23" s="38">
        <f>L20</f>
        <v>0</v>
      </c>
      <c r="F23" s="39"/>
      <c r="G23" s="38"/>
      <c r="H23" s="39"/>
      <c r="I23" s="38"/>
      <c r="J23" s="39"/>
      <c r="K23" s="38">
        <f>L23-J23</f>
        <v>30380</v>
      </c>
      <c r="L23" s="36">
        <f>C23-E23</f>
        <v>30380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4">
    <mergeCell ref="C17:D17"/>
    <mergeCell ref="C7:D7"/>
    <mergeCell ref="C8:D8"/>
    <mergeCell ref="C9:D9"/>
    <mergeCell ref="C10:D10"/>
    <mergeCell ref="C12:D12"/>
    <mergeCell ref="C13:D13"/>
    <mergeCell ref="C14:D14"/>
    <mergeCell ref="C19:D19"/>
    <mergeCell ref="C20:D20"/>
    <mergeCell ref="C22:D22"/>
    <mergeCell ref="C23:D23"/>
    <mergeCell ref="A2:B2"/>
    <mergeCell ref="B7:B10"/>
    <mergeCell ref="B12:B15"/>
    <mergeCell ref="B17:B20"/>
    <mergeCell ref="B22:B23"/>
    <mergeCell ref="B3:F3"/>
    <mergeCell ref="B4:C4"/>
    <mergeCell ref="D4:E4"/>
    <mergeCell ref="C18:D18"/>
    <mergeCell ref="B5:C5"/>
    <mergeCell ref="D5:E5"/>
    <mergeCell ref="C15:D15"/>
  </mergeCells>
  <phoneticPr fontId="17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中</vt:lpstr>
      <vt:lpstr>後藤</vt:lpstr>
      <vt:lpstr>政谷(現金）</vt:lpstr>
      <vt:lpstr>綱嶋（現金）</vt:lpstr>
      <vt:lpstr>中村</vt:lpstr>
      <vt:lpstr>濱田</vt:lpstr>
      <vt:lpstr>原口</vt:lpstr>
      <vt:lpstr>内村</vt:lpstr>
      <vt:lpstr>半田久</vt:lpstr>
      <vt:lpstr>半田楓</vt:lpstr>
      <vt:lpstr>野村</vt:lpstr>
      <vt:lpstr>一之谷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1221 ky</dc:creator>
  <cp:lastModifiedBy>Yamakawa Nana</cp:lastModifiedBy>
  <cp:lastPrinted>2023-06-09T10:11:16Z</cp:lastPrinted>
  <dcterms:created xsi:type="dcterms:W3CDTF">2023-02-18T07:29:35Z</dcterms:created>
  <dcterms:modified xsi:type="dcterms:W3CDTF">2023-06-09T10:19:18Z</dcterms:modified>
</cp:coreProperties>
</file>