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ec634e50cd4362f7/デスクトップ/塾/給与明細/"/>
    </mc:Choice>
  </mc:AlternateContent>
  <xr:revisionPtr revIDLastSave="511" documentId="13_ncr:1_{6A35756F-1782-4958-919C-F9B9B94A8F51}" xr6:coauthVersionLast="47" xr6:coauthVersionMax="47" xr10:uidLastSave="{E4B9CB3F-1E6E-49A9-AE0F-0574B350F65B}"/>
  <bookViews>
    <workbookView xWindow="-98" yWindow="-98" windowWidth="21795" windowHeight="13875" activeTab="3" xr2:uid="{00000000-000D-0000-FFFF-FFFF00000000}"/>
  </bookViews>
  <sheets>
    <sheet name="中村先生" sheetId="15" r:id="rId1"/>
    <sheet name="中先生" sheetId="14" r:id="rId2"/>
    <sheet name="野村" sheetId="11" r:id="rId3"/>
    <sheet name="一之谷" sheetId="13" r:id="rId4"/>
    <sheet name="濱田" sheetId="7" r:id="rId5"/>
    <sheet name="半田久" sheetId="10" r:id="rId6"/>
    <sheet name="原口" sheetId="8" r:id="rId7"/>
    <sheet name="内村" sheetId="9" r:id="rId8"/>
    <sheet name="近藤" sheetId="16" r:id="rId9"/>
    <sheet name="田村" sheetId="22" r:id="rId10"/>
    <sheet name="波多野" sheetId="21" r:id="rId11"/>
    <sheet name="内舜" sheetId="19" r:id="rId12"/>
    <sheet name="杉山" sheetId="12" r:id="rId13"/>
  </sheets>
  <definedNames>
    <definedName name="_xlnm.Print_Area" localSheetId="1">中先生!$A$1:$M$21</definedName>
    <definedName name="_xlnm.Print_Area" localSheetId="0">中村先生!$A$1:$M$20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22" l="1"/>
  <c r="H14" i="22"/>
  <c r="L16" i="22" s="1"/>
  <c r="E19" i="22" s="1"/>
  <c r="K9" i="22"/>
  <c r="J9" i="22"/>
  <c r="I9" i="22"/>
  <c r="H9" i="22"/>
  <c r="G9" i="22"/>
  <c r="F9" i="22"/>
  <c r="E9" i="22"/>
  <c r="C9" i="22"/>
  <c r="L14" i="21"/>
  <c r="H14" i="21"/>
  <c r="L16" i="21" s="1"/>
  <c r="E19" i="21" s="1"/>
  <c r="K9" i="21"/>
  <c r="J9" i="21"/>
  <c r="I9" i="21"/>
  <c r="H9" i="21"/>
  <c r="G9" i="21"/>
  <c r="F9" i="21"/>
  <c r="E9" i="21"/>
  <c r="C9" i="21"/>
  <c r="F9" i="19"/>
  <c r="L14" i="19"/>
  <c r="H14" i="19"/>
  <c r="L16" i="19" s="1"/>
  <c r="E19" i="19" s="1"/>
  <c r="K9" i="19"/>
  <c r="J9" i="19"/>
  <c r="I9" i="19"/>
  <c r="H9" i="19"/>
  <c r="G9" i="19"/>
  <c r="E9" i="19"/>
  <c r="C9" i="19"/>
  <c r="L14" i="16"/>
  <c r="H14" i="16"/>
  <c r="L16" i="16" s="1"/>
  <c r="E19" i="16" s="1"/>
  <c r="K9" i="16"/>
  <c r="J9" i="16"/>
  <c r="I9" i="16"/>
  <c r="H9" i="16"/>
  <c r="G9" i="16"/>
  <c r="F9" i="16"/>
  <c r="E9" i="16"/>
  <c r="C9" i="16"/>
  <c r="G9" i="13"/>
  <c r="G9" i="11"/>
  <c r="G9" i="12"/>
  <c r="G8" i="10"/>
  <c r="G9" i="9"/>
  <c r="G9" i="8"/>
  <c r="G9" i="7"/>
  <c r="L11" i="21" l="1"/>
  <c r="C19" i="21" s="1"/>
  <c r="L19" i="21" s="1"/>
  <c r="K19" i="21" s="1"/>
  <c r="L11" i="22"/>
  <c r="C19" i="22" s="1"/>
  <c r="L19" i="22" s="1"/>
  <c r="K19" i="22" s="1"/>
  <c r="L11" i="19"/>
  <c r="C19" i="19" s="1"/>
  <c r="L19" i="19" s="1"/>
  <c r="K19" i="19" s="1"/>
  <c r="L11" i="16"/>
  <c r="C19" i="16" s="1"/>
  <c r="L19" i="16" s="1"/>
  <c r="K19" i="16" s="1"/>
  <c r="L14" i="15"/>
  <c r="H14" i="15"/>
  <c r="K9" i="15"/>
  <c r="I9" i="15"/>
  <c r="H9" i="15"/>
  <c r="G9" i="15"/>
  <c r="F9" i="15"/>
  <c r="E9" i="15"/>
  <c r="C9" i="15"/>
  <c r="L14" i="14"/>
  <c r="H14" i="14"/>
  <c r="K9" i="14"/>
  <c r="I9" i="14"/>
  <c r="H9" i="14"/>
  <c r="G9" i="14"/>
  <c r="E9" i="14"/>
  <c r="C9" i="14"/>
  <c r="L14" i="13"/>
  <c r="H14" i="13"/>
  <c r="K9" i="13"/>
  <c r="J9" i="13"/>
  <c r="I9" i="13"/>
  <c r="H9" i="13"/>
  <c r="E9" i="13"/>
  <c r="C9" i="13"/>
  <c r="L14" i="12"/>
  <c r="H14" i="12"/>
  <c r="K9" i="12"/>
  <c r="J9" i="12"/>
  <c r="I9" i="12"/>
  <c r="H9" i="12"/>
  <c r="F9" i="12"/>
  <c r="E9" i="12"/>
  <c r="C9" i="12"/>
  <c r="L14" i="11"/>
  <c r="H14" i="11"/>
  <c r="K9" i="11"/>
  <c r="J9" i="11"/>
  <c r="I9" i="11"/>
  <c r="H9" i="11"/>
  <c r="E9" i="11"/>
  <c r="C9" i="11"/>
  <c r="L13" i="10"/>
  <c r="H13" i="10"/>
  <c r="K8" i="10"/>
  <c r="J8" i="10"/>
  <c r="I8" i="10"/>
  <c r="H8" i="10"/>
  <c r="E8" i="10"/>
  <c r="C8" i="10"/>
  <c r="L14" i="9"/>
  <c r="L16" i="9" s="1"/>
  <c r="E19" i="9" s="1"/>
  <c r="H14" i="9"/>
  <c r="K9" i="9"/>
  <c r="J9" i="9"/>
  <c r="I9" i="9"/>
  <c r="H9" i="9"/>
  <c r="F9" i="9"/>
  <c r="E9" i="9"/>
  <c r="C9" i="9"/>
  <c r="L14" i="8"/>
  <c r="H14" i="8"/>
  <c r="K9" i="8"/>
  <c r="J9" i="8"/>
  <c r="I9" i="8"/>
  <c r="H9" i="8"/>
  <c r="F9" i="8"/>
  <c r="E9" i="8"/>
  <c r="C9" i="8"/>
  <c r="L14" i="7"/>
  <c r="H14" i="7"/>
  <c r="K9" i="7"/>
  <c r="J9" i="7"/>
  <c r="I9" i="7"/>
  <c r="H9" i="7"/>
  <c r="E9" i="7"/>
  <c r="C9" i="7"/>
  <c r="I14" i="22" l="1"/>
  <c r="I14" i="21"/>
  <c r="I14" i="19"/>
  <c r="I14" i="16"/>
  <c r="L15" i="10"/>
  <c r="E18" i="10" s="1"/>
  <c r="L11" i="9"/>
  <c r="C19" i="9" s="1"/>
  <c r="L19" i="9" s="1"/>
  <c r="K19" i="9" s="1"/>
  <c r="L16" i="14"/>
  <c r="E19" i="14" s="1"/>
  <c r="L11" i="8"/>
  <c r="I14" i="8" s="1"/>
  <c r="L11" i="7"/>
  <c r="I14" i="7" s="1"/>
  <c r="L16" i="15"/>
  <c r="E19" i="15" s="1"/>
  <c r="L11" i="13"/>
  <c r="C19" i="13" s="1"/>
  <c r="L19" i="13" s="1"/>
  <c r="K19" i="13" s="1"/>
  <c r="L11" i="11"/>
  <c r="C19" i="11" s="1"/>
  <c r="L11" i="12"/>
  <c r="C19" i="12" s="1"/>
  <c r="L16" i="12"/>
  <c r="E19" i="12" s="1"/>
  <c r="L10" i="10"/>
  <c r="I13" i="10" s="1"/>
  <c r="L16" i="8"/>
  <c r="E19" i="8" s="1"/>
  <c r="L16" i="7"/>
  <c r="E19" i="7" s="1"/>
  <c r="L11" i="15"/>
  <c r="C19" i="15" s="1"/>
  <c r="L19" i="15" s="1"/>
  <c r="K19" i="15" s="1"/>
  <c r="L11" i="14"/>
  <c r="L16" i="11"/>
  <c r="E19" i="11" s="1"/>
  <c r="L16" i="13"/>
  <c r="E19" i="13" s="1"/>
  <c r="C19" i="14" l="1"/>
  <c r="L19" i="14" s="1"/>
  <c r="K19" i="14" s="1"/>
  <c r="I14" i="14"/>
  <c r="L19" i="12"/>
  <c r="K19" i="12" s="1"/>
  <c r="L19" i="11"/>
  <c r="K19" i="11" s="1"/>
  <c r="I14" i="12"/>
  <c r="I14" i="15"/>
  <c r="C19" i="8"/>
  <c r="L19" i="8" s="1"/>
  <c r="K19" i="8" s="1"/>
  <c r="I14" i="9"/>
  <c r="C19" i="7"/>
  <c r="L19" i="7" s="1"/>
  <c r="K19" i="7" s="1"/>
  <c r="I14" i="11"/>
  <c r="I14" i="13"/>
  <c r="C18" i="10"/>
  <c r="L18" i="10" s="1"/>
  <c r="K18" i="10" s="1"/>
</calcChain>
</file>

<file path=xl/sharedStrings.xml><?xml version="1.0" encoding="utf-8"?>
<sst xmlns="http://schemas.openxmlformats.org/spreadsheetml/2006/main" count="575" uniqueCount="125">
  <si>
    <t>年</t>
  </si>
  <si>
    <t>給与支給明細書</t>
  </si>
  <si>
    <t>講師</t>
  </si>
  <si>
    <t>出勤日数</t>
  </si>
  <si>
    <t>氏　名</t>
  </si>
  <si>
    <t>殿</t>
  </si>
  <si>
    <t>支給項目二</t>
  </si>
  <si>
    <t>個別指導料（ｺﾏ）</t>
  </si>
  <si>
    <t>個別指導料（分）</t>
  </si>
  <si>
    <t>1:2手当</t>
  </si>
  <si>
    <t>受験生手当</t>
  </si>
  <si>
    <t>事務給与</t>
  </si>
  <si>
    <t>プログラム作成給</t>
  </si>
  <si>
    <t>待機給</t>
  </si>
  <si>
    <t>交通費</t>
  </si>
  <si>
    <t>1050×0</t>
  </si>
  <si>
    <t>350×0</t>
  </si>
  <si>
    <t>総支給額</t>
  </si>
  <si>
    <t>175×0</t>
  </si>
  <si>
    <t>控除項目</t>
  </si>
  <si>
    <t>健康保険</t>
  </si>
  <si>
    <t>厚生年金保険</t>
  </si>
  <si>
    <t>雇用保険</t>
  </si>
  <si>
    <t>社会保険合計</t>
  </si>
  <si>
    <t>課税対象額</t>
  </si>
  <si>
    <t>所得税</t>
  </si>
  <si>
    <t>住民税</t>
  </si>
  <si>
    <t>税額合計</t>
  </si>
  <si>
    <t>総控除額</t>
  </si>
  <si>
    <t>集計</t>
  </si>
  <si>
    <t>振込支給額</t>
  </si>
  <si>
    <t>差引支給額</t>
  </si>
  <si>
    <t>600×0</t>
  </si>
  <si>
    <t>500×0</t>
  </si>
  <si>
    <t>230（10分）×0</t>
  </si>
  <si>
    <t>1380（時間）×0</t>
  </si>
  <si>
    <t>支給項目</t>
  </si>
  <si>
    <t>指導料(ｺﾏ給)</t>
  </si>
  <si>
    <t>指導料（分給）</t>
  </si>
  <si>
    <t>0×0</t>
  </si>
  <si>
    <t>213（10分）×0</t>
  </si>
  <si>
    <t>濱田旺次郎</t>
  </si>
  <si>
    <t>原口詞之</t>
  </si>
  <si>
    <t>218（10分）×0</t>
  </si>
  <si>
    <t>1305（時間）×0</t>
  </si>
  <si>
    <t>内村優</t>
  </si>
  <si>
    <t>208（10分）×0</t>
  </si>
  <si>
    <t>50×0</t>
  </si>
  <si>
    <t>1245（時間）×0</t>
  </si>
  <si>
    <t>半田久瑠実</t>
  </si>
  <si>
    <t>220（10分）×0</t>
  </si>
  <si>
    <t>1320（60分）×0</t>
  </si>
  <si>
    <t>223（10分）×0</t>
  </si>
  <si>
    <t>1338（時間）×0</t>
  </si>
  <si>
    <t>1308（時間）×0</t>
  </si>
  <si>
    <t>1150×0</t>
    <phoneticPr fontId="16"/>
  </si>
  <si>
    <t>1275（時間）×0</t>
    <phoneticPr fontId="16"/>
  </si>
  <si>
    <t>一之谷寛</t>
    <rPh sb="0" eb="3">
      <t>イチノタニ</t>
    </rPh>
    <rPh sb="3" eb="4">
      <t>ヒロシ</t>
    </rPh>
    <phoneticPr fontId="16"/>
  </si>
  <si>
    <t>野村泰平</t>
    <rPh sb="0" eb="2">
      <t>ノムラ</t>
    </rPh>
    <rPh sb="2" eb="4">
      <t>タイヘイ</t>
    </rPh>
    <phoneticPr fontId="16"/>
  </si>
  <si>
    <t>中村和人</t>
    <rPh sb="0" eb="2">
      <t>ナカムラ</t>
    </rPh>
    <rPh sb="2" eb="4">
      <t>カズト</t>
    </rPh>
    <phoneticPr fontId="16"/>
  </si>
  <si>
    <t>支給項目</t>
    <phoneticPr fontId="16"/>
  </si>
  <si>
    <t>1特別手当</t>
    <rPh sb="1" eb="3">
      <t>トクベツ</t>
    </rPh>
    <phoneticPr fontId="16"/>
  </si>
  <si>
    <t>0×0</t>
    <phoneticPr fontId="16"/>
  </si>
  <si>
    <t>受験生高校生手当</t>
    <rPh sb="3" eb="6">
      <t>コウコウセイ</t>
    </rPh>
    <phoneticPr fontId="16"/>
  </si>
  <si>
    <t>待機給</t>
    <rPh sb="0" eb="3">
      <t>タイキキュウ</t>
    </rPh>
    <phoneticPr fontId="16"/>
  </si>
  <si>
    <t>1000×0</t>
    <phoneticPr fontId="16"/>
  </si>
  <si>
    <t>200（受験生）×0</t>
    <rPh sb="4" eb="7">
      <t>ジュケンセイ</t>
    </rPh>
    <phoneticPr fontId="16"/>
  </si>
  <si>
    <t>200（高校生）×0</t>
    <rPh sb="4" eb="7">
      <t>コウコウセイ</t>
    </rPh>
    <phoneticPr fontId="16"/>
  </si>
  <si>
    <t>1000×0</t>
    <phoneticPr fontId="16"/>
  </si>
  <si>
    <t>1:特別手当</t>
    <rPh sb="2" eb="4">
      <t>トクベツ</t>
    </rPh>
    <phoneticPr fontId="16"/>
  </si>
  <si>
    <t>1150×0</t>
    <phoneticPr fontId="16"/>
  </si>
  <si>
    <t>1:特別手当</t>
    <rPh sb="2" eb="4">
      <t>トクベツ</t>
    </rPh>
    <rPh sb="4" eb="6">
      <t>テアテ</t>
    </rPh>
    <phoneticPr fontId="16"/>
  </si>
  <si>
    <t>0×0</t>
    <phoneticPr fontId="16"/>
  </si>
  <si>
    <t>特別手当</t>
    <rPh sb="0" eb="2">
      <t>トクベツ</t>
    </rPh>
    <phoneticPr fontId="16"/>
  </si>
  <si>
    <t>特別手当</t>
    <rPh sb="0" eb="2">
      <t>トクベツ</t>
    </rPh>
    <rPh sb="2" eb="4">
      <t>テアテ</t>
    </rPh>
    <phoneticPr fontId="16"/>
  </si>
  <si>
    <t>講師支給明細書</t>
    <rPh sb="0" eb="2">
      <t>コウシ</t>
    </rPh>
    <rPh sb="2" eb="4">
      <t>シキュウ</t>
    </rPh>
    <phoneticPr fontId="16"/>
  </si>
  <si>
    <t>200（受験生）×4</t>
  </si>
  <si>
    <t>200（高校生）×12</t>
  </si>
  <si>
    <t>ゴミ出し</t>
  </si>
  <si>
    <t>1000×0</t>
  </si>
  <si>
    <t>杉山佳</t>
  </si>
  <si>
    <t>100（高校生）×4</t>
  </si>
  <si>
    <t>近藤光太郎</t>
  </si>
  <si>
    <t>5000×0</t>
  </si>
  <si>
    <t>200（受験生）×0</t>
  </si>
  <si>
    <t>200（受験生）×8</t>
  </si>
  <si>
    <t>1150×0</t>
  </si>
  <si>
    <t>200（高校生）×0</t>
  </si>
  <si>
    <t>8月1日～8月31日勤務分</t>
  </si>
  <si>
    <t>1900（ｺﾏ）×14</t>
  </si>
  <si>
    <t>100（受験生）×16</t>
  </si>
  <si>
    <t>内村舜</t>
  </si>
  <si>
    <t>1400×0</t>
  </si>
  <si>
    <t>200（高校生）×4</t>
  </si>
  <si>
    <t>資格検定</t>
  </si>
  <si>
    <t>200（受験生）×12</t>
  </si>
  <si>
    <t>1000×1</t>
  </si>
  <si>
    <t>2100（ｺﾏ）×38</t>
  </si>
  <si>
    <t>2100×6</t>
  </si>
  <si>
    <t>田村誠志</t>
  </si>
  <si>
    <t>1800（ｺﾏ）×3</t>
  </si>
  <si>
    <t>1200×1</t>
  </si>
  <si>
    <t>波田野奈奈絵</t>
  </si>
  <si>
    <t>中紳一</t>
  </si>
  <si>
    <t>3月1日～3月31日</t>
  </si>
  <si>
    <t>1,200×3</t>
  </si>
  <si>
    <t>2100（ｺﾏ）×24</t>
  </si>
  <si>
    <t>100（受験生）×4</t>
  </si>
  <si>
    <t>1523×4</t>
  </si>
  <si>
    <t>716×2</t>
  </si>
  <si>
    <t>2050（ｺﾏ）×53</t>
  </si>
  <si>
    <t>1200×11</t>
  </si>
  <si>
    <t>3月1日～3月31日勤務分</t>
  </si>
  <si>
    <t>2100（ｺﾏ）×18</t>
  </si>
  <si>
    <t>2100×9</t>
  </si>
  <si>
    <t>有給コマ分を指導コマ数に含む</t>
  </si>
  <si>
    <t>2000×26</t>
  </si>
  <si>
    <t>1200×0</t>
  </si>
  <si>
    <t>1500×1</t>
  </si>
  <si>
    <t>1800（ｺﾏ）×8</t>
  </si>
  <si>
    <t>1800×27</t>
  </si>
  <si>
    <t>1400×23.5</t>
  </si>
  <si>
    <t>2100×3</t>
  </si>
  <si>
    <t>7180+5000</t>
    <phoneticPr fontId="16"/>
  </si>
  <si>
    <t>TOIEC,コマ給手当</t>
    <rPh sb="8" eb="9">
      <t>キュウ</t>
    </rPh>
    <rPh sb="9" eb="11">
      <t>テアテ</t>
    </rPh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</si>
</sst>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scheme val="minor"/>
    </font>
    <font>
      <sz val="9"/>
      <color theme="1"/>
      <name val="MS PGothic"/>
      <family val="2"/>
      <charset val="128"/>
    </font>
    <font>
      <sz val="12"/>
      <color theme="1"/>
      <name val="ＭＳ ゴシック"/>
      <family val="3"/>
      <charset val="128"/>
    </font>
    <font>
      <sz val="11"/>
      <name val="Calibri"/>
      <family val="2"/>
    </font>
    <font>
      <sz val="8"/>
      <color theme="1"/>
      <name val="ＭＳ ゴシック"/>
      <family val="3"/>
      <charset val="128"/>
    </font>
    <font>
      <sz val="15"/>
      <color theme="1"/>
      <name val="ＭＳ ゴシック"/>
      <family val="3"/>
      <charset val="128"/>
    </font>
    <font>
      <sz val="10"/>
      <color theme="1"/>
      <name val="MS PGothic"/>
      <family val="2"/>
      <charset val="128"/>
    </font>
    <font>
      <sz val="11"/>
      <color theme="1"/>
      <name val="游ゴシック"/>
      <family val="3"/>
      <charset val="128"/>
    </font>
    <font>
      <sz val="7"/>
      <color rgb="FF3F3F3F"/>
      <name val="ＭＳ ゴシック"/>
      <family val="3"/>
      <charset val="128"/>
    </font>
    <font>
      <sz val="7"/>
      <color theme="1"/>
      <name val="MS PGothic"/>
      <family val="2"/>
      <charset val="128"/>
    </font>
    <font>
      <sz val="9"/>
      <color theme="1"/>
      <name val="ＭＳ ゴシック"/>
      <family val="3"/>
      <charset val="128"/>
    </font>
    <font>
      <sz val="9"/>
      <color theme="0"/>
      <name val="MS PGothic"/>
      <family val="2"/>
      <charset val="128"/>
    </font>
    <font>
      <sz val="7"/>
      <color rgb="FF3F3F3F"/>
      <name val="MS PGothic"/>
      <family val="2"/>
      <charset val="128"/>
    </font>
    <font>
      <sz val="6"/>
      <color rgb="FF3F3F3F"/>
      <name val="MS PGothic"/>
      <family val="2"/>
      <charset val="128"/>
    </font>
    <font>
      <sz val="11"/>
      <color rgb="FF3F3F3F"/>
      <name val="MS PGothic"/>
      <family val="2"/>
      <charset val="128"/>
    </font>
    <font>
      <sz val="9"/>
      <color rgb="FF3F3F3F"/>
      <name val="ＭＳ ゴシック"/>
      <family val="3"/>
      <charset val="128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8">
    <xf numFmtId="0" fontId="0" fillId="0" borderId="0" xfId="0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5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9" xfId="0" applyFont="1" applyBorder="1" applyAlignment="1">
      <alignment vertical="center"/>
    </xf>
    <xf numFmtId="0" fontId="8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38" fontId="12" fillId="0" borderId="18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19" xfId="0" applyFont="1" applyBorder="1" applyAlignment="1">
      <alignment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7" fillId="0" borderId="0" xfId="0" applyFont="1" applyAlignment="1">
      <alignment vertical="center" textRotation="255"/>
    </xf>
    <xf numFmtId="0" fontId="12" fillId="0" borderId="22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12" fillId="0" borderId="13" xfId="0" applyFont="1" applyBorder="1" applyAlignment="1">
      <alignment horizontal="center" vertical="center" shrinkToFit="1"/>
    </xf>
    <xf numFmtId="0" fontId="13" fillId="0" borderId="1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22" xfId="0" applyFont="1" applyBorder="1" applyAlignment="1">
      <alignment horizontal="center" vertical="center" shrinkToFit="1"/>
    </xf>
    <xf numFmtId="0" fontId="12" fillId="0" borderId="22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38" fontId="12" fillId="0" borderId="17" xfId="0" applyNumberFormat="1" applyFont="1" applyBorder="1" applyAlignment="1">
      <alignment vertical="center"/>
    </xf>
    <xf numFmtId="0" fontId="1" fillId="0" borderId="0" xfId="0" applyFont="1" applyAlignment="1">
      <alignment horizontal="center" vertical="center" textRotation="255" wrapText="1"/>
    </xf>
    <xf numFmtId="38" fontId="12" fillId="0" borderId="18" xfId="0" applyNumberFormat="1" applyFont="1" applyBorder="1" applyAlignment="1">
      <alignment vertical="center"/>
    </xf>
    <xf numFmtId="38" fontId="12" fillId="0" borderId="19" xfId="0" applyNumberFormat="1" applyFont="1" applyBorder="1" applyAlignment="1">
      <alignment vertical="center"/>
    </xf>
    <xf numFmtId="0" fontId="14" fillId="0" borderId="0" xfId="0" applyFont="1" applyAlignment="1">
      <alignment vertical="center"/>
    </xf>
    <xf numFmtId="0" fontId="15" fillId="0" borderId="6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 wrapText="1"/>
    </xf>
    <xf numFmtId="0" fontId="3" fillId="0" borderId="23" xfId="0" applyFont="1" applyBorder="1" applyAlignment="1">
      <alignment vertical="center"/>
    </xf>
    <xf numFmtId="0" fontId="8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38" fontId="12" fillId="0" borderId="16" xfId="0" applyNumberFormat="1" applyFont="1" applyBorder="1" applyAlignment="1">
      <alignment horizontal="right" vertical="center"/>
    </xf>
    <xf numFmtId="0" fontId="3" fillId="0" borderId="17" xfId="0" applyFont="1" applyBorder="1" applyAlignment="1">
      <alignment vertical="center"/>
    </xf>
    <xf numFmtId="0" fontId="11" fillId="2" borderId="10" xfId="0" applyFont="1" applyFill="1" applyBorder="1" applyAlignment="1">
      <alignment horizontal="center" vertical="center" textRotation="255" shrinkToFit="1"/>
    </xf>
    <xf numFmtId="0" fontId="3" fillId="0" borderId="15" xfId="0" applyFont="1" applyBorder="1" applyAlignment="1">
      <alignment vertical="center"/>
    </xf>
    <xf numFmtId="0" fontId="8" fillId="0" borderId="11" xfId="0" applyFont="1" applyBorder="1" applyAlignment="1">
      <alignment horizontal="center" vertical="center" shrinkToFit="1"/>
    </xf>
    <xf numFmtId="38" fontId="8" fillId="0" borderId="16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vertical="center"/>
    </xf>
    <xf numFmtId="0" fontId="8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vertical="center"/>
    </xf>
    <xf numFmtId="0" fontId="11" fillId="2" borderId="10" xfId="0" applyFont="1" applyFill="1" applyBorder="1" applyAlignment="1">
      <alignment horizontal="center" vertical="center" textRotation="255" wrapText="1"/>
    </xf>
    <xf numFmtId="38" fontId="12" fillId="0" borderId="16" xfId="0" applyNumberFormat="1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6" fillId="0" borderId="8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390525</xdr:colOff>
      <xdr:row>0</xdr:row>
      <xdr:rowOff>0</xdr:rowOff>
    </xdr:from>
    <xdr:ext cx="2257425" cy="800100"/>
    <xdr:sp macro="" textlink="">
      <xdr:nvSpPr>
        <xdr:cNvPr id="2" name="Shape 9">
          <a:extLst>
            <a:ext uri="{FF2B5EF4-FFF2-40B4-BE49-F238E27FC236}">
              <a16:creationId xmlns:a16="http://schemas.microsoft.com/office/drawing/2014/main" id="{0D29BDA8-509E-45D9-BF57-36A4C4369884}"/>
            </a:ext>
          </a:extLst>
        </xdr:cNvPr>
        <xdr:cNvSpPr/>
      </xdr:nvSpPr>
      <xdr:spPr>
        <a:xfrm>
          <a:off x="4757738" y="0"/>
          <a:ext cx="2257425" cy="800100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  <xdr:oneCellAnchor>
    <xdr:from>
      <xdr:col>7</xdr:col>
      <xdr:colOff>390525</xdr:colOff>
      <xdr:row>0</xdr:row>
      <xdr:rowOff>0</xdr:rowOff>
    </xdr:from>
    <xdr:ext cx="2257425" cy="1128712"/>
    <xdr:sp macro="" textlink="">
      <xdr:nvSpPr>
        <xdr:cNvPr id="3" name="Shape 10">
          <a:extLst>
            <a:ext uri="{FF2B5EF4-FFF2-40B4-BE49-F238E27FC236}">
              <a16:creationId xmlns:a16="http://schemas.microsoft.com/office/drawing/2014/main" id="{7B544E9F-7DF5-42F6-8610-ED82F30D19DE}"/>
            </a:ext>
          </a:extLst>
        </xdr:cNvPr>
        <xdr:cNvSpPr/>
      </xdr:nvSpPr>
      <xdr:spPr>
        <a:xfrm>
          <a:off x="4757738" y="0"/>
          <a:ext cx="2257425" cy="1128712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390525</xdr:colOff>
      <xdr:row>0</xdr:row>
      <xdr:rowOff>0</xdr:rowOff>
    </xdr:from>
    <xdr:ext cx="2257425" cy="800100"/>
    <xdr:sp macro="" textlink="">
      <xdr:nvSpPr>
        <xdr:cNvPr id="2" name="Shape 9">
          <a:extLst>
            <a:ext uri="{FF2B5EF4-FFF2-40B4-BE49-F238E27FC236}">
              <a16:creationId xmlns:a16="http://schemas.microsoft.com/office/drawing/2014/main" id="{B66899CF-82AA-4B14-9A02-C1B69E4D6912}"/>
            </a:ext>
          </a:extLst>
        </xdr:cNvPr>
        <xdr:cNvSpPr/>
      </xdr:nvSpPr>
      <xdr:spPr>
        <a:xfrm>
          <a:off x="4757738" y="0"/>
          <a:ext cx="2257425" cy="800100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  <xdr:oneCellAnchor>
    <xdr:from>
      <xdr:col>7</xdr:col>
      <xdr:colOff>390525</xdr:colOff>
      <xdr:row>0</xdr:row>
      <xdr:rowOff>0</xdr:rowOff>
    </xdr:from>
    <xdr:ext cx="2257425" cy="1128712"/>
    <xdr:sp macro="" textlink="">
      <xdr:nvSpPr>
        <xdr:cNvPr id="3" name="Shape 10">
          <a:extLst>
            <a:ext uri="{FF2B5EF4-FFF2-40B4-BE49-F238E27FC236}">
              <a16:creationId xmlns:a16="http://schemas.microsoft.com/office/drawing/2014/main" id="{6E77F2D8-2332-4C1A-B4E0-ECE54EEA1E6B}"/>
            </a:ext>
          </a:extLst>
        </xdr:cNvPr>
        <xdr:cNvSpPr/>
      </xdr:nvSpPr>
      <xdr:spPr>
        <a:xfrm>
          <a:off x="4757738" y="0"/>
          <a:ext cx="2257425" cy="1128712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428625</xdr:colOff>
      <xdr:row>0</xdr:row>
      <xdr:rowOff>95250</xdr:rowOff>
    </xdr:from>
    <xdr:ext cx="2257425" cy="952500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SpPr/>
      </xdr:nvSpPr>
      <xdr:spPr>
        <a:xfrm>
          <a:off x="4795838" y="95250"/>
          <a:ext cx="2257425" cy="952500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390525</xdr:colOff>
      <xdr:row>0</xdr:row>
      <xdr:rowOff>47625</xdr:rowOff>
    </xdr:from>
    <xdr:ext cx="2257425" cy="990600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C00-00001D000000}"/>
            </a:ext>
          </a:extLst>
        </xdr:cNvPr>
        <xdr:cNvSpPr/>
      </xdr:nvSpPr>
      <xdr:spPr>
        <a:xfrm>
          <a:off x="4757738" y="47625"/>
          <a:ext cx="2257425" cy="990600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390525</xdr:colOff>
      <xdr:row>0</xdr:row>
      <xdr:rowOff>66675</xdr:rowOff>
    </xdr:from>
    <xdr:ext cx="2257425" cy="990600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/>
      </xdr:nvSpPr>
      <xdr:spPr>
        <a:xfrm>
          <a:off x="4757738" y="66675"/>
          <a:ext cx="2257425" cy="990600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390525</xdr:colOff>
      <xdr:row>0</xdr:row>
      <xdr:rowOff>19049</xdr:rowOff>
    </xdr:from>
    <xdr:ext cx="2257425" cy="900113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4757738" y="19049"/>
          <a:ext cx="2257425" cy="900113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390525</xdr:colOff>
      <xdr:row>0</xdr:row>
      <xdr:rowOff>76200</xdr:rowOff>
    </xdr:from>
    <xdr:ext cx="2257425" cy="981075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4757738" y="76200"/>
          <a:ext cx="2257425" cy="981075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390525</xdr:colOff>
      <xdr:row>0</xdr:row>
      <xdr:rowOff>80963</xdr:rowOff>
    </xdr:from>
    <xdr:ext cx="2257425" cy="976312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/>
      </xdr:nvSpPr>
      <xdr:spPr>
        <a:xfrm>
          <a:off x="4757738" y="80963"/>
          <a:ext cx="2257425" cy="976312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485775</xdr:colOff>
      <xdr:row>1</xdr:row>
      <xdr:rowOff>9525</xdr:rowOff>
    </xdr:from>
    <xdr:ext cx="2257425" cy="800100"/>
    <xdr:sp macro="" textlink="">
      <xdr:nvSpPr>
        <xdr:cNvPr id="2" name="Shape 27">
          <a:extLst>
            <a:ext uri="{FF2B5EF4-FFF2-40B4-BE49-F238E27FC236}">
              <a16:creationId xmlns:a16="http://schemas.microsoft.com/office/drawing/2014/main" id="{BCE458A3-CEE6-464D-BBAD-D3FE898CC264}"/>
            </a:ext>
          </a:extLst>
        </xdr:cNvPr>
        <xdr:cNvSpPr/>
      </xdr:nvSpPr>
      <xdr:spPr>
        <a:xfrm>
          <a:off x="4852988" y="247650"/>
          <a:ext cx="2257425" cy="800100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485775</xdr:colOff>
      <xdr:row>1</xdr:row>
      <xdr:rowOff>9525</xdr:rowOff>
    </xdr:from>
    <xdr:ext cx="2257425" cy="800100"/>
    <xdr:sp macro="" textlink="">
      <xdr:nvSpPr>
        <xdr:cNvPr id="2" name="Shape 27">
          <a:extLst>
            <a:ext uri="{FF2B5EF4-FFF2-40B4-BE49-F238E27FC236}">
              <a16:creationId xmlns:a16="http://schemas.microsoft.com/office/drawing/2014/main" id="{EB1E2AC8-ED3C-4ADB-8F32-7144A08C9078}"/>
            </a:ext>
          </a:extLst>
        </xdr:cNvPr>
        <xdr:cNvSpPr/>
      </xdr:nvSpPr>
      <xdr:spPr>
        <a:xfrm>
          <a:off x="4852988" y="247650"/>
          <a:ext cx="2257425" cy="800100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485775</xdr:colOff>
      <xdr:row>1</xdr:row>
      <xdr:rowOff>9525</xdr:rowOff>
    </xdr:from>
    <xdr:ext cx="2257425" cy="800100"/>
    <xdr:sp macro="" textlink="">
      <xdr:nvSpPr>
        <xdr:cNvPr id="2" name="Shape 27">
          <a:extLst>
            <a:ext uri="{FF2B5EF4-FFF2-40B4-BE49-F238E27FC236}">
              <a16:creationId xmlns:a16="http://schemas.microsoft.com/office/drawing/2014/main" id="{F18A5B45-7536-4631-B9F7-3EF4791E9BB0}"/>
            </a:ext>
          </a:extLst>
        </xdr:cNvPr>
        <xdr:cNvSpPr/>
      </xdr:nvSpPr>
      <xdr:spPr>
        <a:xfrm>
          <a:off x="4852988" y="247650"/>
          <a:ext cx="2257425" cy="800100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390525</xdr:colOff>
      <xdr:row>0</xdr:row>
      <xdr:rowOff>80963</xdr:rowOff>
    </xdr:from>
    <xdr:ext cx="2257425" cy="976312"/>
    <xdr:sp macro="" textlink="">
      <xdr:nvSpPr>
        <xdr:cNvPr id="2" name="Shape 22">
          <a:extLst>
            <a:ext uri="{FF2B5EF4-FFF2-40B4-BE49-F238E27FC236}">
              <a16:creationId xmlns:a16="http://schemas.microsoft.com/office/drawing/2014/main" id="{06EEF93F-9163-4A9F-B684-F672E30E38D9}"/>
            </a:ext>
          </a:extLst>
        </xdr:cNvPr>
        <xdr:cNvSpPr/>
      </xdr:nvSpPr>
      <xdr:spPr>
        <a:xfrm>
          <a:off x="4757738" y="80963"/>
          <a:ext cx="2257425" cy="976312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485775</xdr:colOff>
      <xdr:row>1</xdr:row>
      <xdr:rowOff>9525</xdr:rowOff>
    </xdr:from>
    <xdr:ext cx="2257425" cy="800100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SpPr/>
      </xdr:nvSpPr>
      <xdr:spPr>
        <a:xfrm>
          <a:off x="4222050" y="3384713"/>
          <a:ext cx="2247900" cy="790575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99C65-E025-407F-B80A-40354304A23F}">
  <sheetPr>
    <pageSetUpPr fitToPage="1"/>
  </sheetPr>
  <dimension ref="A1:L950"/>
  <sheetViews>
    <sheetView topLeftCell="A3" zoomScale="117" workbookViewId="0">
      <selection activeCell="J15" sqref="J15"/>
    </sheetView>
  </sheetViews>
  <sheetFormatPr defaultColWidth="14.3984375" defaultRowHeight="15" customHeight="1"/>
  <cols>
    <col min="1" max="26" width="8.73046875" customWidth="1"/>
  </cols>
  <sheetData>
    <row r="1" spans="1:12" ht="18.75" customHeight="1"/>
    <row r="2" spans="1:12" ht="18.75" customHeight="1"/>
    <row r="3" spans="1:12" ht="18.75" customHeight="1" thickBot="1">
      <c r="A3" s="58">
        <v>2025</v>
      </c>
      <c r="B3" s="59"/>
      <c r="C3" s="2" t="s">
        <v>0</v>
      </c>
      <c r="D3" s="3"/>
      <c r="E3" s="3" t="s">
        <v>104</v>
      </c>
    </row>
    <row r="4" spans="1:12" ht="18.75" customHeight="1">
      <c r="B4" s="60" t="s">
        <v>1</v>
      </c>
      <c r="C4" s="61"/>
      <c r="D4" s="61"/>
      <c r="E4" s="61"/>
      <c r="F4" s="62"/>
      <c r="H4" s="4"/>
      <c r="I4" s="5"/>
      <c r="J4" s="6"/>
    </row>
    <row r="5" spans="1:12" ht="18.75" customHeight="1">
      <c r="B5" s="63"/>
      <c r="C5" s="59"/>
      <c r="D5" s="64" t="s">
        <v>2</v>
      </c>
      <c r="E5" s="59"/>
      <c r="F5" s="7"/>
      <c r="G5" s="37" t="s">
        <v>3</v>
      </c>
      <c r="H5" s="8"/>
    </row>
    <row r="6" spans="1:12" ht="18.75" customHeight="1" thickBot="1">
      <c r="B6" s="65" t="s">
        <v>4</v>
      </c>
      <c r="C6" s="66"/>
      <c r="D6" s="67" t="s">
        <v>59</v>
      </c>
      <c r="E6" s="66"/>
      <c r="F6" s="9" t="s">
        <v>5</v>
      </c>
      <c r="G6" s="10">
        <v>12</v>
      </c>
      <c r="J6" s="11"/>
    </row>
    <row r="7" spans="1:12" ht="18.75" customHeight="1">
      <c r="B7" s="12"/>
      <c r="J7" s="11"/>
    </row>
    <row r="8" spans="1:12" ht="18.75" customHeight="1">
      <c r="A8" s="24"/>
      <c r="B8" s="48" t="s">
        <v>60</v>
      </c>
      <c r="C8" s="50" t="s">
        <v>7</v>
      </c>
      <c r="D8" s="45"/>
      <c r="E8" s="25" t="s">
        <v>8</v>
      </c>
      <c r="F8" s="14" t="s">
        <v>61</v>
      </c>
      <c r="G8" s="26" t="s">
        <v>63</v>
      </c>
      <c r="H8" s="14" t="s">
        <v>11</v>
      </c>
      <c r="I8" s="40" t="s">
        <v>12</v>
      </c>
      <c r="J8" s="39" t="s">
        <v>64</v>
      </c>
      <c r="K8" s="41" t="s">
        <v>14</v>
      </c>
      <c r="L8" s="15"/>
    </row>
    <row r="9" spans="1:12" ht="18.75" customHeight="1">
      <c r="B9" s="49"/>
      <c r="C9" s="51">
        <f>LEFT(C10,FIND("（ｺﾏ）×",C10)-1)*RIGHT(C10,LEN(C10)-FIND("×",C10))+IF(C11&lt;&gt;"",LEFT(C11,FIND("×",C11)-1)*RIGHT(C11,LEN(C11)-FIND("×",C11)),0)</f>
        <v>108650</v>
      </c>
      <c r="D9" s="47"/>
      <c r="E9" s="16">
        <f>LEFT(E10,FIND("（10分）×",E10)-1)*RIGHT(E10,LEN(E10)-FIND("×",E10))+LEFT(E11,FIND("（時間）×",E11)-1)*RIGHT(E11,LEN(E11)-FIND("×",E11))</f>
        <v>0</v>
      </c>
      <c r="F9" s="16">
        <f>LEFT(F10,FIND("×",F10)-1)*RIGHT(F10,LEN(F10)-FIND("×",F10))+IF(F11&lt;&gt;"",LEFT(F11,FIND("×",F11)-1)*RIGHT(F11,LEN(F11)-FIND("×",F11)),0)</f>
        <v>0</v>
      </c>
      <c r="G9" s="16">
        <f>LEFT(G10,FIND("（受験生）×",G10)-1)*RIGHT(G10,LEN(G10)-FIND("×",G10))+LEFT(G11,FIND("（高校生）×",G11)-1)*RIGHT(G11,LEN(G11)-FIND("×",G11))</f>
        <v>2000</v>
      </c>
      <c r="H9" s="16">
        <f>IF(H8&lt;&gt;"",LEFT(H10,FIND("×",H10)-1)*RIGHT(H10,LEN(H10)-FIND("×",H10))+IF(H11&lt;&gt;"",LEFT(H11,FIND("×",H11)-1)*RIGHT(H11,LEN(H11)-FIND("×",H11)),0),"")</f>
        <v>13200</v>
      </c>
      <c r="I9" s="16">
        <f>IF(I8&lt;&gt;"",LEFT(I10,FIND("×",I10)-1)*RIGHT(I10,LEN(I10)-FIND("×",I10))+IF(I11&lt;&gt;"",LEFT(I11,FIND("×",I11)-1)*RIGHT(I11,LEN(I11)-FIND("×",I11)),0),"")</f>
        <v>0</v>
      </c>
      <c r="J9" s="16"/>
      <c r="K9" s="16">
        <f>IF(K8&lt;&gt;"",LEFT(K10,FIND("×",K10)-1)*RIGHT(K10,LEN(K10)-FIND("×",K10))+IF(K11&lt;&gt;"",LEFT(K11,FIND("×",K11)-1)*RIGHT(K11,LEN(K11)-FIND("×",K11)),0),"")</f>
        <v>1432</v>
      </c>
      <c r="L9" s="34"/>
    </row>
    <row r="10" spans="1:12" ht="18.75" customHeight="1">
      <c r="B10" s="49"/>
      <c r="C10" s="52" t="s">
        <v>110</v>
      </c>
      <c r="D10" s="53"/>
      <c r="E10" s="19" t="s">
        <v>34</v>
      </c>
      <c r="F10" s="27" t="s">
        <v>62</v>
      </c>
      <c r="G10" s="28" t="s">
        <v>90</v>
      </c>
      <c r="H10" s="27" t="s">
        <v>111</v>
      </c>
      <c r="I10" s="29" t="s">
        <v>16</v>
      </c>
      <c r="J10" s="27" t="s">
        <v>65</v>
      </c>
      <c r="K10" s="29" t="s">
        <v>109</v>
      </c>
      <c r="L10" s="30" t="s">
        <v>17</v>
      </c>
    </row>
    <row r="11" spans="1:12" ht="18.75" customHeight="1">
      <c r="B11" s="43"/>
      <c r="C11" s="54"/>
      <c r="D11" s="55"/>
      <c r="E11" s="20" t="s">
        <v>35</v>
      </c>
      <c r="F11" s="31"/>
      <c r="G11" s="21" t="s">
        <v>81</v>
      </c>
      <c r="H11" s="18"/>
      <c r="I11" s="21" t="s">
        <v>33</v>
      </c>
      <c r="J11" s="31"/>
      <c r="K11" s="21"/>
      <c r="L11" s="32">
        <f>SUM(C9:L9)</f>
        <v>125282</v>
      </c>
    </row>
    <row r="12" spans="1:12" ht="18.75" customHeight="1">
      <c r="B12" s="33"/>
      <c r="C12" s="17"/>
      <c r="D12" s="17"/>
      <c r="E12" s="17"/>
      <c r="F12" s="17"/>
      <c r="G12" s="17"/>
      <c r="H12" s="17"/>
      <c r="I12" s="17"/>
      <c r="J12" s="17"/>
      <c r="K12" s="17"/>
      <c r="L12" s="17"/>
    </row>
    <row r="13" spans="1:12" ht="18.75" customHeight="1">
      <c r="B13" s="56" t="s">
        <v>19</v>
      </c>
      <c r="C13" s="44" t="s">
        <v>20</v>
      </c>
      <c r="D13" s="45"/>
      <c r="E13" s="13" t="s">
        <v>21</v>
      </c>
      <c r="F13" s="13" t="s">
        <v>22</v>
      </c>
      <c r="G13" s="13"/>
      <c r="H13" s="14" t="s">
        <v>23</v>
      </c>
      <c r="I13" s="13" t="s">
        <v>24</v>
      </c>
      <c r="J13" s="14" t="s">
        <v>25</v>
      </c>
      <c r="K13" s="13" t="s">
        <v>26</v>
      </c>
      <c r="L13" s="15" t="s">
        <v>27</v>
      </c>
    </row>
    <row r="14" spans="1:12" ht="18.75" customHeight="1">
      <c r="B14" s="49"/>
      <c r="C14" s="57">
        <v>0</v>
      </c>
      <c r="D14" s="47"/>
      <c r="E14" s="34">
        <v>0</v>
      </c>
      <c r="F14" s="35">
        <v>0</v>
      </c>
      <c r="G14" s="34"/>
      <c r="H14" s="35">
        <f>SUM(C14:G14)</f>
        <v>0</v>
      </c>
      <c r="I14" s="34">
        <f>L11-K9-H14</f>
        <v>123850</v>
      </c>
      <c r="J14" s="35">
        <v>1950</v>
      </c>
      <c r="K14" s="34">
        <v>0</v>
      </c>
      <c r="L14" s="32">
        <f>SUM(J14:K14)</f>
        <v>1950</v>
      </c>
    </row>
    <row r="15" spans="1:12" ht="18.75" customHeight="1">
      <c r="B15" s="49"/>
      <c r="C15" s="44"/>
      <c r="D15" s="45"/>
      <c r="E15" s="13"/>
      <c r="F15" s="14"/>
      <c r="G15" s="13"/>
      <c r="H15" s="14"/>
      <c r="I15" s="13"/>
      <c r="J15" s="14"/>
      <c r="K15" s="13"/>
      <c r="L15" s="15" t="s">
        <v>28</v>
      </c>
    </row>
    <row r="16" spans="1:12" ht="18.75" customHeight="1">
      <c r="B16" s="43"/>
      <c r="C16" s="51"/>
      <c r="D16" s="47"/>
      <c r="E16" s="34"/>
      <c r="F16" s="35"/>
      <c r="G16" s="34"/>
      <c r="H16" s="35"/>
      <c r="I16" s="34"/>
      <c r="J16" s="35"/>
      <c r="K16" s="34"/>
      <c r="L16" s="32">
        <f>H14+L14</f>
        <v>1950</v>
      </c>
    </row>
    <row r="17" spans="2:12" ht="18.75" customHeight="1">
      <c r="C17" s="36"/>
      <c r="D17" s="36"/>
      <c r="E17" s="36"/>
      <c r="F17" s="36"/>
      <c r="G17" s="36"/>
      <c r="H17" s="36"/>
      <c r="I17" s="36"/>
      <c r="J17" s="36"/>
      <c r="K17" s="36"/>
      <c r="L17" s="36"/>
    </row>
    <row r="18" spans="2:12" ht="18.75" customHeight="1">
      <c r="B18" s="42" t="s">
        <v>29</v>
      </c>
      <c r="C18" s="44" t="s">
        <v>17</v>
      </c>
      <c r="D18" s="45"/>
      <c r="E18" s="13" t="s">
        <v>28</v>
      </c>
      <c r="F18" s="14"/>
      <c r="G18" s="13"/>
      <c r="H18" s="14"/>
      <c r="I18" s="13"/>
      <c r="J18" s="14"/>
      <c r="K18" s="13" t="s">
        <v>30</v>
      </c>
      <c r="L18" s="15" t="s">
        <v>31</v>
      </c>
    </row>
    <row r="19" spans="2:12" ht="18.75" customHeight="1">
      <c r="B19" s="43"/>
      <c r="C19" s="46">
        <f>L11</f>
        <v>125282</v>
      </c>
      <c r="D19" s="47"/>
      <c r="E19" s="34">
        <f>L16</f>
        <v>1950</v>
      </c>
      <c r="F19" s="35"/>
      <c r="G19" s="34"/>
      <c r="H19" s="35"/>
      <c r="I19" s="34"/>
      <c r="J19" s="35"/>
      <c r="K19" s="34">
        <f>L19-J19</f>
        <v>123332</v>
      </c>
      <c r="L19" s="32">
        <f>C19-E19</f>
        <v>123332</v>
      </c>
    </row>
    <row r="20" spans="2:12" ht="18.75" customHeight="1"/>
    <row r="21" spans="2:12" ht="18.75" customHeight="1"/>
    <row r="22" spans="2:12" ht="18.75" customHeight="1"/>
    <row r="23" spans="2:12" ht="18.75" customHeight="1"/>
    <row r="24" spans="2:12" ht="18.75" customHeight="1"/>
    <row r="25" spans="2:12" ht="18.75" customHeight="1"/>
    <row r="26" spans="2:12" ht="18.75" customHeight="1"/>
    <row r="27" spans="2:12" ht="18.75" customHeight="1"/>
    <row r="28" spans="2:12" ht="18.75" customHeight="1"/>
    <row r="29" spans="2:12" ht="18.75" customHeight="1"/>
    <row r="30" spans="2:12" ht="18.75" customHeight="1"/>
    <row r="31" spans="2:12" ht="18.75" customHeight="1"/>
    <row r="32" spans="2:1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</sheetData>
  <mergeCells count="19">
    <mergeCell ref="A3:B3"/>
    <mergeCell ref="B4:F4"/>
    <mergeCell ref="B5:C5"/>
    <mergeCell ref="D5:E5"/>
    <mergeCell ref="B6:C6"/>
    <mergeCell ref="D6:E6"/>
    <mergeCell ref="B18:B19"/>
    <mergeCell ref="C18:D18"/>
    <mergeCell ref="C19:D19"/>
    <mergeCell ref="B8:B11"/>
    <mergeCell ref="C8:D8"/>
    <mergeCell ref="C9:D9"/>
    <mergeCell ref="C10:D10"/>
    <mergeCell ref="C11:D11"/>
    <mergeCell ref="B13:B16"/>
    <mergeCell ref="C13:D13"/>
    <mergeCell ref="C14:D14"/>
    <mergeCell ref="C15:D15"/>
    <mergeCell ref="C16:D16"/>
  </mergeCells>
  <phoneticPr fontId="16"/>
  <pageMargins left="0.7" right="0.7" top="0.75" bottom="0.75" header="0.3" footer="0.3"/>
  <pageSetup scale="7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222AB-59D6-47D9-8C22-7BFCFB3BA265}">
  <sheetPr>
    <pageSetUpPr fitToPage="1"/>
  </sheetPr>
  <dimension ref="A1:L950"/>
  <sheetViews>
    <sheetView topLeftCell="A3" zoomScale="117" workbookViewId="0">
      <selection activeCell="C22" sqref="C22"/>
    </sheetView>
  </sheetViews>
  <sheetFormatPr defaultColWidth="14.3984375" defaultRowHeight="15" customHeight="1"/>
  <cols>
    <col min="1" max="26" width="8.73046875" customWidth="1"/>
  </cols>
  <sheetData>
    <row r="1" spans="1:12" ht="18.75" customHeight="1"/>
    <row r="2" spans="1:12" ht="18.75" customHeight="1"/>
    <row r="3" spans="1:12" ht="18.75" customHeight="1" thickBot="1">
      <c r="A3" s="58">
        <v>2025</v>
      </c>
      <c r="B3" s="59"/>
      <c r="C3" s="2" t="s">
        <v>0</v>
      </c>
      <c r="D3" s="3"/>
      <c r="E3" s="3" t="s">
        <v>104</v>
      </c>
    </row>
    <row r="4" spans="1:12" ht="18.75" customHeight="1">
      <c r="B4" s="60" t="s">
        <v>75</v>
      </c>
      <c r="C4" s="61"/>
      <c r="D4" s="61"/>
      <c r="E4" s="61"/>
      <c r="F4" s="62"/>
      <c r="H4" s="4"/>
      <c r="I4" s="5"/>
      <c r="J4" s="6"/>
    </row>
    <row r="5" spans="1:12" ht="18.75" customHeight="1">
      <c r="B5" s="63"/>
      <c r="C5" s="59"/>
      <c r="D5" s="64" t="s">
        <v>2</v>
      </c>
      <c r="E5" s="59"/>
      <c r="F5" s="7"/>
      <c r="G5" s="37" t="s">
        <v>3</v>
      </c>
      <c r="H5" s="8"/>
    </row>
    <row r="6" spans="1:12" ht="18.75" customHeight="1" thickBot="1">
      <c r="B6" s="65" t="s">
        <v>4</v>
      </c>
      <c r="C6" s="66"/>
      <c r="D6" s="67" t="s">
        <v>103</v>
      </c>
      <c r="E6" s="66"/>
      <c r="F6" s="9" t="s">
        <v>5</v>
      </c>
      <c r="G6" s="10">
        <v>4</v>
      </c>
      <c r="J6" s="11"/>
    </row>
    <row r="7" spans="1:12" ht="18.75" customHeight="1">
      <c r="B7" s="12"/>
      <c r="J7" s="11"/>
    </row>
    <row r="8" spans="1:12" ht="18.75" customHeight="1">
      <c r="A8" s="24"/>
      <c r="B8" s="48" t="s">
        <v>60</v>
      </c>
      <c r="C8" s="50" t="s">
        <v>7</v>
      </c>
      <c r="D8" s="45"/>
      <c r="E8" s="25" t="s">
        <v>8</v>
      </c>
      <c r="F8" s="14" t="s">
        <v>61</v>
      </c>
      <c r="G8" s="26" t="s">
        <v>63</v>
      </c>
      <c r="H8" s="14" t="s">
        <v>11</v>
      </c>
      <c r="I8" s="40" t="s">
        <v>12</v>
      </c>
      <c r="J8" s="39" t="s">
        <v>64</v>
      </c>
      <c r="K8" s="41" t="s">
        <v>14</v>
      </c>
      <c r="L8" s="15"/>
    </row>
    <row r="9" spans="1:12" ht="18.75" customHeight="1">
      <c r="B9" s="49"/>
      <c r="C9" s="51">
        <f>LEFT(C10,FIND("（ｺﾏ）×",C10)-1)*RIGHT(C10,LEN(C10)-FIND("×",C10))+IF(C11&lt;&gt;"",LEFT(C11,FIND("×",C11)-1)*RIGHT(C11,LEN(C11)-FIND("×",C11)),0)</f>
        <v>50400</v>
      </c>
      <c r="D9" s="47"/>
      <c r="E9" s="16">
        <f>LEFT(E10,FIND("（10分）×",E10)-1)*RIGHT(E10,LEN(E10)-FIND("×",E10))+LEFT(E11,FIND("（時間）×",E11)-1)*RIGHT(E11,LEN(E11)-FIND("×",E11))</f>
        <v>0</v>
      </c>
      <c r="F9" s="16">
        <v>0</v>
      </c>
      <c r="G9" s="16">
        <f>LEFT(G10,FIND("（受験生）×",G10)-1)*RIGHT(G10,LEN(G10)-FIND("×",G10))+LEFT(G11,FIND("（高校生）×",G11)-1)*RIGHT(G11,LEN(G11)-FIND("×",G11))</f>
        <v>800</v>
      </c>
      <c r="H9" s="16">
        <f>IF(H8&lt;&gt;"",LEFT(H10,FIND("×",H10)-1)*RIGHT(H10,LEN(H10)-FIND("×",H10))+IF(H11&lt;&gt;"",LEFT(H11,FIND("×",H11)-1)*RIGHT(H11,LEN(H11)-FIND("×",H11)),0),"")</f>
        <v>3600</v>
      </c>
      <c r="I9" s="16">
        <f>IF(I8&lt;&gt;"",LEFT(I10,FIND("×",I10)-1)*RIGHT(I10,LEN(I10)-FIND("×",I10))+IF(I11&lt;&gt;"",LEFT(I11,FIND("×",I11)-1)*RIGHT(I11,LEN(I11)-FIND("×",I11)),0),"")</f>
        <v>0</v>
      </c>
      <c r="J9" s="16">
        <v>0</v>
      </c>
      <c r="K9" s="16">
        <f>IF(K8&lt;&gt;"",LEFT(K10,FIND("×",K10)-1)*RIGHT(K10,LEN(K10)-FIND("×",K10))+IF(K11&lt;&gt;"",LEFT(K11,FIND("×",K11)-1)*RIGHT(K11,LEN(K11)-FIND("×",K11)),0),"")</f>
        <v>6092</v>
      </c>
      <c r="L9" s="34"/>
    </row>
    <row r="10" spans="1:12" ht="18.75" customHeight="1">
      <c r="B10" s="49"/>
      <c r="C10" s="52" t="s">
        <v>106</v>
      </c>
      <c r="D10" s="53"/>
      <c r="E10" s="19" t="s">
        <v>34</v>
      </c>
      <c r="F10" s="27">
        <v>0</v>
      </c>
      <c r="G10" s="28" t="s">
        <v>107</v>
      </c>
      <c r="H10" s="27" t="s">
        <v>105</v>
      </c>
      <c r="I10" s="29" t="s">
        <v>16</v>
      </c>
      <c r="J10" s="27" t="s">
        <v>65</v>
      </c>
      <c r="K10" s="29" t="s">
        <v>108</v>
      </c>
      <c r="L10" s="30" t="s">
        <v>17</v>
      </c>
    </row>
    <row r="11" spans="1:12" ht="18.75" customHeight="1">
      <c r="B11" s="43"/>
      <c r="C11" s="54"/>
      <c r="D11" s="55"/>
      <c r="E11" s="20" t="s">
        <v>35</v>
      </c>
      <c r="F11" s="31"/>
      <c r="G11" s="21" t="s">
        <v>81</v>
      </c>
      <c r="H11" s="18"/>
      <c r="I11" s="21" t="s">
        <v>33</v>
      </c>
      <c r="J11" s="31"/>
      <c r="K11" s="21"/>
      <c r="L11" s="32">
        <f>SUM(C9:L9)</f>
        <v>60892</v>
      </c>
    </row>
    <row r="12" spans="1:12" ht="18.75" customHeight="1">
      <c r="B12" s="33"/>
      <c r="C12" s="17"/>
      <c r="D12" s="17"/>
      <c r="E12" s="17"/>
      <c r="F12" s="17"/>
      <c r="G12" s="17"/>
      <c r="H12" s="17"/>
      <c r="I12" s="17"/>
      <c r="J12" s="17"/>
      <c r="K12" s="17"/>
      <c r="L12" s="17"/>
    </row>
    <row r="13" spans="1:12" ht="18.75" customHeight="1">
      <c r="B13" s="56" t="s">
        <v>19</v>
      </c>
      <c r="C13" s="44" t="s">
        <v>20</v>
      </c>
      <c r="D13" s="45"/>
      <c r="E13" s="13" t="s">
        <v>21</v>
      </c>
      <c r="F13" s="13" t="s">
        <v>22</v>
      </c>
      <c r="G13" s="13"/>
      <c r="H13" s="14" t="s">
        <v>23</v>
      </c>
      <c r="I13" s="13" t="s">
        <v>24</v>
      </c>
      <c r="J13" s="14" t="s">
        <v>25</v>
      </c>
      <c r="K13" s="13" t="s">
        <v>26</v>
      </c>
      <c r="L13" s="15" t="s">
        <v>27</v>
      </c>
    </row>
    <row r="14" spans="1:12" ht="18.75" customHeight="1">
      <c r="B14" s="49"/>
      <c r="C14" s="57">
        <v>0</v>
      </c>
      <c r="D14" s="47"/>
      <c r="E14" s="34">
        <v>0</v>
      </c>
      <c r="F14" s="35">
        <v>0</v>
      </c>
      <c r="G14" s="34"/>
      <c r="H14" s="35">
        <f>SUM(C14:G14)</f>
        <v>0</v>
      </c>
      <c r="I14" s="34">
        <f>L11-K9-H14-F9</f>
        <v>54800</v>
      </c>
      <c r="J14" s="35"/>
      <c r="K14" s="34">
        <v>0</v>
      </c>
      <c r="L14" s="32">
        <f>SUM(J14:K14)</f>
        <v>0</v>
      </c>
    </row>
    <row r="15" spans="1:12" ht="18.75" customHeight="1">
      <c r="B15" s="49"/>
      <c r="C15" s="44"/>
      <c r="D15" s="45"/>
      <c r="E15" s="13"/>
      <c r="F15" s="14"/>
      <c r="G15" s="13"/>
      <c r="H15" s="14"/>
      <c r="I15" s="13"/>
      <c r="J15" s="14"/>
      <c r="K15" s="13"/>
      <c r="L15" s="15" t="s">
        <v>28</v>
      </c>
    </row>
    <row r="16" spans="1:12" ht="18.75" customHeight="1">
      <c r="B16" s="43"/>
      <c r="C16" s="51"/>
      <c r="D16" s="47"/>
      <c r="E16" s="34"/>
      <c r="F16" s="35"/>
      <c r="G16" s="34"/>
      <c r="H16" s="35"/>
      <c r="I16" s="34"/>
      <c r="J16" s="35"/>
      <c r="K16" s="34"/>
      <c r="L16" s="32">
        <f>H14+L14</f>
        <v>0</v>
      </c>
    </row>
    <row r="17" spans="2:12" ht="18.75" customHeight="1">
      <c r="C17" s="36"/>
      <c r="D17" s="36"/>
      <c r="E17" s="36"/>
      <c r="F17" s="36"/>
      <c r="G17" s="36"/>
      <c r="H17" s="36"/>
      <c r="I17" s="36"/>
      <c r="J17" s="36"/>
      <c r="K17" s="36"/>
      <c r="L17" s="36"/>
    </row>
    <row r="18" spans="2:12" ht="18.75" customHeight="1">
      <c r="B18" s="42" t="s">
        <v>29</v>
      </c>
      <c r="C18" s="44" t="s">
        <v>17</v>
      </c>
      <c r="D18" s="45"/>
      <c r="E18" s="13" t="s">
        <v>28</v>
      </c>
      <c r="F18" s="14"/>
      <c r="G18" s="13"/>
      <c r="H18" s="14"/>
      <c r="I18" s="13"/>
      <c r="J18" s="14"/>
      <c r="K18" s="13" t="s">
        <v>30</v>
      </c>
      <c r="L18" s="15" t="s">
        <v>31</v>
      </c>
    </row>
    <row r="19" spans="2:12" ht="18.75" customHeight="1">
      <c r="B19" s="43"/>
      <c r="C19" s="46">
        <f>L11</f>
        <v>60892</v>
      </c>
      <c r="D19" s="47"/>
      <c r="E19" s="34">
        <f>L16</f>
        <v>0</v>
      </c>
      <c r="F19" s="35"/>
      <c r="G19" s="34"/>
      <c r="H19" s="35"/>
      <c r="I19" s="34"/>
      <c r="J19" s="35"/>
      <c r="K19" s="34">
        <f>L19-J19</f>
        <v>60892</v>
      </c>
      <c r="L19" s="32">
        <f>C19-E19</f>
        <v>60892</v>
      </c>
    </row>
    <row r="20" spans="2:12" ht="18.75" customHeight="1"/>
    <row r="21" spans="2:12" ht="18.75" customHeight="1">
      <c r="C21" t="s">
        <v>115</v>
      </c>
    </row>
    <row r="22" spans="2:12" ht="18.75" customHeight="1"/>
    <row r="23" spans="2:12" ht="18.75" customHeight="1"/>
    <row r="24" spans="2:12" ht="18.75" customHeight="1"/>
    <row r="25" spans="2:12" ht="18.75" customHeight="1"/>
    <row r="26" spans="2:12" ht="18.75" customHeight="1"/>
    <row r="27" spans="2:12" ht="18.75" customHeight="1"/>
    <row r="28" spans="2:12" ht="18.75" customHeight="1"/>
    <row r="29" spans="2:12" ht="18.75" customHeight="1"/>
    <row r="30" spans="2:12" ht="18.75" customHeight="1"/>
    <row r="31" spans="2:12" ht="18.75" customHeight="1"/>
    <row r="32" spans="2:1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</sheetData>
  <mergeCells count="19">
    <mergeCell ref="A3:B3"/>
    <mergeCell ref="B4:F4"/>
    <mergeCell ref="B5:C5"/>
    <mergeCell ref="D5:E5"/>
    <mergeCell ref="B6:C6"/>
    <mergeCell ref="D6:E6"/>
    <mergeCell ref="B18:B19"/>
    <mergeCell ref="C18:D18"/>
    <mergeCell ref="C19:D19"/>
    <mergeCell ref="B8:B11"/>
    <mergeCell ref="C8:D8"/>
    <mergeCell ref="C9:D9"/>
    <mergeCell ref="C10:D10"/>
    <mergeCell ref="C11:D11"/>
    <mergeCell ref="B13:B16"/>
    <mergeCell ref="C13:D13"/>
    <mergeCell ref="C14:D14"/>
    <mergeCell ref="C15:D15"/>
    <mergeCell ref="C16:D16"/>
  </mergeCells>
  <phoneticPr fontId="16"/>
  <pageMargins left="0.7" right="0.7" top="0.75" bottom="0.75" header="0.3" footer="0.3"/>
  <pageSetup scale="7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974"/>
  <sheetViews>
    <sheetView workbookViewId="0">
      <selection activeCell="G6" sqref="G6"/>
    </sheetView>
  </sheetViews>
  <sheetFormatPr defaultColWidth="14.3984375" defaultRowHeight="15" customHeight="1"/>
  <cols>
    <col min="1" max="26" width="8.73046875" customWidth="1"/>
  </cols>
  <sheetData>
    <row r="1" spans="1:12" ht="18.75" customHeight="1"/>
    <row r="2" spans="1:12" ht="18" customHeight="1">
      <c r="A2" s="1">
        <v>2025</v>
      </c>
      <c r="B2" s="1"/>
      <c r="C2" s="2" t="s">
        <v>0</v>
      </c>
      <c r="D2" s="3"/>
      <c r="E2" s="3" t="s">
        <v>112</v>
      </c>
    </row>
    <row r="3" spans="1:12" ht="18" customHeight="1">
      <c r="B3" s="60" t="s">
        <v>1</v>
      </c>
      <c r="C3" s="61"/>
      <c r="D3" s="61"/>
      <c r="E3" s="61"/>
      <c r="F3" s="62"/>
      <c r="H3" s="4"/>
      <c r="I3" s="5"/>
      <c r="J3" s="6"/>
    </row>
    <row r="4" spans="1:12" ht="18" customHeight="1">
      <c r="B4" s="63"/>
      <c r="C4" s="59"/>
      <c r="D4" s="64" t="s">
        <v>2</v>
      </c>
      <c r="E4" s="59"/>
      <c r="F4" s="7"/>
      <c r="G4" s="37" t="s">
        <v>3</v>
      </c>
    </row>
    <row r="5" spans="1:12" ht="18" customHeight="1">
      <c r="B5" s="65" t="s">
        <v>4</v>
      </c>
      <c r="C5" s="66"/>
      <c r="D5" s="67" t="s">
        <v>58</v>
      </c>
      <c r="E5" s="66"/>
      <c r="F5" s="9" t="s">
        <v>5</v>
      </c>
      <c r="G5" s="10">
        <v>2</v>
      </c>
      <c r="J5" s="11"/>
    </row>
    <row r="6" spans="1:12" ht="1.5" customHeight="1">
      <c r="B6" s="12"/>
      <c r="J6" s="11"/>
    </row>
    <row r="7" spans="1:12" ht="1.5" customHeight="1">
      <c r="B7" s="22"/>
      <c r="C7" s="17"/>
      <c r="D7" s="17"/>
      <c r="E7" s="17"/>
      <c r="F7" s="23"/>
      <c r="G7" s="17"/>
      <c r="H7" s="17"/>
      <c r="I7" s="17"/>
      <c r="J7" s="17"/>
      <c r="K7" s="17"/>
      <c r="L7" s="17"/>
    </row>
    <row r="8" spans="1:12" ht="12" customHeight="1">
      <c r="A8" s="24"/>
      <c r="B8" s="56" t="s">
        <v>36</v>
      </c>
      <c r="C8" s="50" t="s">
        <v>37</v>
      </c>
      <c r="D8" s="45"/>
      <c r="E8" s="25" t="s">
        <v>38</v>
      </c>
      <c r="F8" s="14" t="s">
        <v>71</v>
      </c>
      <c r="G8" s="26" t="s">
        <v>63</v>
      </c>
      <c r="H8" s="14" t="s">
        <v>11</v>
      </c>
      <c r="I8" s="13" t="s">
        <v>12</v>
      </c>
      <c r="J8" s="13" t="s">
        <v>13</v>
      </c>
      <c r="K8" s="13" t="s">
        <v>14</v>
      </c>
      <c r="L8" s="15"/>
    </row>
    <row r="9" spans="1:12" ht="12" customHeight="1">
      <c r="B9" s="49"/>
      <c r="C9" s="51">
        <f>LEFT(C10,FIND("×",C10)-1)*RIGHT(C10,LEN(C10)-FIND("×",C10))+IF(C11&lt;&gt;"",LEFT(C11,FIND("×",C11)-1)*RIGHT(C11,LEN(C11)-FIND("×",C11)),0)</f>
        <v>12600</v>
      </c>
      <c r="D9" s="47"/>
      <c r="E9" s="16">
        <f>LEFT(E10,FIND("（10分）×",E10)-1)*RIGHT(E10,LEN(E10)-FIND("×",E10))+LEFT(E11,FIND("（60分）×",E11)-1)*RIGHT(E11,LEN(E11)-FIND("×",E11))</f>
        <v>0</v>
      </c>
      <c r="F9" s="16">
        <v>7500</v>
      </c>
      <c r="G9" s="16">
        <f>LEFT(G10,FIND("（受験生）×",G10)-1)*RIGHT(G10,LEN(G10)-FIND("×",G10))+LEFT(G11,FIND("（高校生）×",G11)-1)*RIGHT(G11,LEN(G11)-FIND("×",G11))</f>
        <v>800</v>
      </c>
      <c r="H9" s="16">
        <f>IF(H8&lt;&gt;"",LEFT(H10,FIND("×",H10)-1)*RIGHT(H10,LEN(H10)-FIND("×",H10))+IF(H11&lt;&gt;"",LEFT(H11,FIND("×",H11)-1)*RIGHT(H11,LEN(H11)-FIND("×",H11)),0),"")</f>
        <v>0</v>
      </c>
      <c r="I9" s="16">
        <f>IF(I8&lt;&gt;"",LEFT(I10,FIND("×",I10)-1)*RIGHT(I10,LEN(I10)-FIND("×",I10))+IF(I11&lt;&gt;"",LEFT(I11,FIND("×",I11)-1)*RIGHT(I11,LEN(I11)-FIND("×",I11)),0),"")</f>
        <v>0</v>
      </c>
      <c r="J9" s="16">
        <f>IF(J8&lt;&gt;"",LEFT(J10,FIND("×",J10)-1)*RIGHT(J10,LEN(J10)-FIND("×",J10))+IF(J11&lt;&gt;"",LEFT(J11,FIND("×",J11)-1)*RIGHT(J11,LEN(J11)-FIND("×",J11)),0),"")</f>
        <v>0</v>
      </c>
      <c r="K9" s="16">
        <f>IF(K8&lt;&gt;"",LEFT(K10,FIND("×",K10)-1)*RIGHT(K10,LEN(K10)-FIND("×",K10))+IF(K11&lt;&gt;"",LEFT(K11,FIND("×",K11)-1)*RIGHT(K11,LEN(K11)-FIND("×",K11)),0),"")</f>
        <v>0</v>
      </c>
      <c r="L9" s="34"/>
    </row>
    <row r="10" spans="1:12" ht="12" customHeight="1">
      <c r="B10" s="49"/>
      <c r="C10" s="52" t="s">
        <v>98</v>
      </c>
      <c r="D10" s="53"/>
      <c r="E10" s="19" t="s">
        <v>50</v>
      </c>
      <c r="F10" s="27" t="s">
        <v>39</v>
      </c>
      <c r="G10" s="28" t="s">
        <v>76</v>
      </c>
      <c r="H10" s="27" t="s">
        <v>70</v>
      </c>
      <c r="I10" s="29" t="s">
        <v>33</v>
      </c>
      <c r="J10" s="27" t="s">
        <v>68</v>
      </c>
      <c r="K10" s="29" t="s">
        <v>39</v>
      </c>
      <c r="L10" s="30" t="s">
        <v>17</v>
      </c>
    </row>
    <row r="11" spans="1:12" ht="12" customHeight="1">
      <c r="B11" s="43"/>
      <c r="C11" s="54"/>
      <c r="D11" s="55"/>
      <c r="E11" s="20" t="s">
        <v>51</v>
      </c>
      <c r="F11" s="31" t="s">
        <v>94</v>
      </c>
      <c r="G11" s="21" t="s">
        <v>87</v>
      </c>
      <c r="H11" s="18"/>
      <c r="I11" s="21"/>
      <c r="J11" s="31"/>
      <c r="K11" s="21"/>
      <c r="L11" s="32">
        <f>SUM(C9:L9)</f>
        <v>20900</v>
      </c>
    </row>
    <row r="12" spans="1:12" ht="1.5" customHeight="1">
      <c r="B12" s="33"/>
      <c r="C12" s="17"/>
      <c r="D12" s="17"/>
      <c r="E12" s="17"/>
      <c r="F12" s="17"/>
      <c r="G12" s="17"/>
      <c r="H12" s="17"/>
      <c r="I12" s="17"/>
      <c r="J12" s="17"/>
      <c r="K12" s="17"/>
      <c r="L12" s="17"/>
    </row>
    <row r="13" spans="1:12" ht="12" customHeight="1">
      <c r="B13" s="56" t="s">
        <v>19</v>
      </c>
      <c r="C13" s="44" t="s">
        <v>20</v>
      </c>
      <c r="D13" s="45"/>
      <c r="E13" s="13" t="s">
        <v>21</v>
      </c>
      <c r="F13" s="13" t="s">
        <v>22</v>
      </c>
      <c r="G13" s="13"/>
      <c r="H13" s="14" t="s">
        <v>23</v>
      </c>
      <c r="I13" s="13" t="s">
        <v>24</v>
      </c>
      <c r="J13" s="14" t="s">
        <v>25</v>
      </c>
      <c r="K13" s="13" t="s">
        <v>26</v>
      </c>
      <c r="L13" s="15" t="s">
        <v>27</v>
      </c>
    </row>
    <row r="14" spans="1:12" ht="12" customHeight="1">
      <c r="B14" s="49"/>
      <c r="C14" s="57">
        <v>0</v>
      </c>
      <c r="D14" s="47"/>
      <c r="E14" s="34">
        <v>0</v>
      </c>
      <c r="F14" s="35">
        <v>0</v>
      </c>
      <c r="G14" s="34"/>
      <c r="H14" s="35">
        <f>SUM(C14:G14)</f>
        <v>0</v>
      </c>
      <c r="I14" s="34">
        <f>L11-K9-H14</f>
        <v>20900</v>
      </c>
      <c r="J14" s="35">
        <v>0</v>
      </c>
      <c r="K14" s="34">
        <v>0</v>
      </c>
      <c r="L14" s="32">
        <f>SUM(J14:K14)</f>
        <v>0</v>
      </c>
    </row>
    <row r="15" spans="1:12" ht="12" customHeight="1">
      <c r="B15" s="49"/>
      <c r="C15" s="44"/>
      <c r="D15" s="45"/>
      <c r="E15" s="13"/>
      <c r="F15" s="14"/>
      <c r="G15" s="13"/>
      <c r="H15" s="14"/>
      <c r="I15" s="13"/>
      <c r="J15" s="14"/>
      <c r="K15" s="13"/>
      <c r="L15" s="15" t="s">
        <v>28</v>
      </c>
    </row>
    <row r="16" spans="1:12" ht="12" customHeight="1">
      <c r="B16" s="43"/>
      <c r="C16" s="51"/>
      <c r="D16" s="47"/>
      <c r="E16" s="34"/>
      <c r="F16" s="35"/>
      <c r="G16" s="34"/>
      <c r="H16" s="35"/>
      <c r="I16" s="34"/>
      <c r="J16" s="35"/>
      <c r="K16" s="34"/>
      <c r="L16" s="32">
        <f>H14+L14</f>
        <v>0</v>
      </c>
    </row>
    <row r="17" spans="2:12" ht="1.5" customHeight="1">
      <c r="C17" s="36"/>
      <c r="D17" s="36"/>
      <c r="E17" s="36"/>
      <c r="F17" s="36"/>
      <c r="G17" s="36"/>
      <c r="H17" s="36"/>
      <c r="I17" s="36"/>
      <c r="J17" s="36"/>
      <c r="K17" s="36"/>
      <c r="L17" s="36"/>
    </row>
    <row r="18" spans="2:12" ht="12" customHeight="1">
      <c r="B18" s="42" t="s">
        <v>29</v>
      </c>
      <c r="C18" s="44" t="s">
        <v>17</v>
      </c>
      <c r="D18" s="45"/>
      <c r="E18" s="13" t="s">
        <v>28</v>
      </c>
      <c r="F18" s="14"/>
      <c r="G18" s="13"/>
      <c r="H18" s="14"/>
      <c r="I18" s="13"/>
      <c r="J18" s="14"/>
      <c r="K18" s="13" t="s">
        <v>30</v>
      </c>
      <c r="L18" s="15" t="s">
        <v>31</v>
      </c>
    </row>
    <row r="19" spans="2:12" ht="12" customHeight="1">
      <c r="B19" s="43"/>
      <c r="C19" s="46">
        <f>L11</f>
        <v>20900</v>
      </c>
      <c r="D19" s="47"/>
      <c r="E19" s="34">
        <f>L16</f>
        <v>0</v>
      </c>
      <c r="F19" s="35"/>
      <c r="G19" s="34"/>
      <c r="H19" s="35"/>
      <c r="I19" s="34"/>
      <c r="J19" s="35"/>
      <c r="K19" s="34">
        <f>L19-J19</f>
        <v>20900</v>
      </c>
      <c r="L19" s="32">
        <f>C19-E19</f>
        <v>20900</v>
      </c>
    </row>
    <row r="20" spans="2:12" ht="18.75" customHeight="1"/>
    <row r="21" spans="2:12" ht="18.75" customHeight="1"/>
    <row r="22" spans="2:12" ht="18.75" customHeight="1"/>
    <row r="23" spans="2:12" ht="18.75" customHeight="1"/>
    <row r="24" spans="2:12" ht="18.75" customHeight="1"/>
    <row r="25" spans="2:12" ht="18.75" customHeight="1"/>
    <row r="26" spans="2:12" ht="18.75" customHeight="1"/>
    <row r="27" spans="2:12" ht="18.75" customHeight="1"/>
    <row r="28" spans="2:12" ht="18.75" customHeight="1"/>
    <row r="29" spans="2:12" ht="18.75" customHeight="1"/>
    <row r="30" spans="2:12" ht="18.75" customHeight="1"/>
    <row r="31" spans="2:12" ht="18.75" customHeight="1"/>
    <row r="32" spans="2:1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</sheetData>
  <mergeCells count="18">
    <mergeCell ref="B3:F3"/>
    <mergeCell ref="B4:C4"/>
    <mergeCell ref="D4:E4"/>
    <mergeCell ref="B5:C5"/>
    <mergeCell ref="D5:E5"/>
    <mergeCell ref="C13:D13"/>
    <mergeCell ref="C14:D14"/>
    <mergeCell ref="B8:B11"/>
    <mergeCell ref="B13:B16"/>
    <mergeCell ref="B18:B19"/>
    <mergeCell ref="C18:D18"/>
    <mergeCell ref="C19:D19"/>
    <mergeCell ref="C8:D8"/>
    <mergeCell ref="C15:D15"/>
    <mergeCell ref="C16:D16"/>
    <mergeCell ref="C9:D9"/>
    <mergeCell ref="C10:D10"/>
    <mergeCell ref="C11:D11"/>
  </mergeCells>
  <phoneticPr fontId="16"/>
  <pageMargins left="0.7" right="0.7" top="0.75" bottom="0.75" header="0" footer="0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L974"/>
  <sheetViews>
    <sheetView tabSelected="1" zoomScale="94" workbookViewId="0">
      <selection activeCell="G24" sqref="G24"/>
    </sheetView>
  </sheetViews>
  <sheetFormatPr defaultColWidth="14.3984375" defaultRowHeight="15" customHeight="1"/>
  <cols>
    <col min="1" max="26" width="8.73046875" customWidth="1"/>
  </cols>
  <sheetData>
    <row r="1" spans="1:12" ht="18.75" customHeight="1"/>
    <row r="2" spans="1:12" ht="18" customHeight="1">
      <c r="A2" s="58">
        <v>2025</v>
      </c>
      <c r="B2" s="59"/>
      <c r="C2" s="2" t="s">
        <v>0</v>
      </c>
      <c r="D2" s="3"/>
      <c r="E2" s="3" t="s">
        <v>104</v>
      </c>
    </row>
    <row r="3" spans="1:12" ht="18" customHeight="1">
      <c r="B3" s="60" t="s">
        <v>1</v>
      </c>
      <c r="C3" s="61"/>
      <c r="D3" s="61"/>
      <c r="E3" s="61"/>
      <c r="F3" s="62"/>
      <c r="H3" s="4"/>
      <c r="I3" s="5"/>
      <c r="J3" s="6"/>
    </row>
    <row r="4" spans="1:12" ht="18" customHeight="1">
      <c r="B4" s="63"/>
      <c r="C4" s="59"/>
      <c r="D4" s="64" t="s">
        <v>2</v>
      </c>
      <c r="E4" s="59"/>
      <c r="F4" s="7"/>
      <c r="G4" s="37" t="s">
        <v>3</v>
      </c>
      <c r="H4" s="8"/>
    </row>
    <row r="5" spans="1:12" ht="18" customHeight="1">
      <c r="B5" s="65" t="s">
        <v>4</v>
      </c>
      <c r="C5" s="66"/>
      <c r="D5" s="67" t="s">
        <v>57</v>
      </c>
      <c r="E5" s="66"/>
      <c r="F5" s="9" t="s">
        <v>5</v>
      </c>
      <c r="G5" s="10">
        <v>6</v>
      </c>
      <c r="J5" s="11"/>
    </row>
    <row r="6" spans="1:12" ht="1.5" customHeight="1">
      <c r="B6" s="12"/>
      <c r="G6">
        <v>4</v>
      </c>
      <c r="J6" s="11"/>
    </row>
    <row r="7" spans="1:12" ht="1.5" customHeight="1">
      <c r="B7" s="22"/>
      <c r="C7" s="17"/>
      <c r="D7" s="17"/>
      <c r="E7" s="17"/>
      <c r="F7" s="23"/>
      <c r="G7" s="17"/>
      <c r="H7" s="17"/>
      <c r="I7" s="17"/>
      <c r="J7" s="17"/>
      <c r="K7" s="17"/>
      <c r="L7" s="17"/>
    </row>
    <row r="8" spans="1:12" ht="12" customHeight="1">
      <c r="A8" s="24"/>
      <c r="B8" s="48" t="s">
        <v>6</v>
      </c>
      <c r="C8" s="50" t="s">
        <v>7</v>
      </c>
      <c r="D8" s="45"/>
      <c r="E8" s="25" t="s">
        <v>8</v>
      </c>
      <c r="F8" s="14" t="s">
        <v>71</v>
      </c>
      <c r="G8" s="26" t="s">
        <v>63</v>
      </c>
      <c r="H8" s="14" t="s">
        <v>11</v>
      </c>
      <c r="I8" s="13" t="s">
        <v>12</v>
      </c>
      <c r="J8" s="13" t="s">
        <v>13</v>
      </c>
      <c r="K8" s="13" t="s">
        <v>14</v>
      </c>
      <c r="L8" s="15"/>
    </row>
    <row r="9" spans="1:12" ht="12" customHeight="1">
      <c r="B9" s="49"/>
      <c r="C9" s="51">
        <f>LEFT(C10,FIND("（ｺﾏ）×",C10)-1)*RIGHT(C10,LEN(C10)-FIND("×",C10))+IF(C11&lt;&gt;"",LEFT(C11,FIND("×",C11)-1)*RIGHT(C11,LEN(C11)-FIND("×",C11)),0)</f>
        <v>37800</v>
      </c>
      <c r="D9" s="47"/>
      <c r="E9" s="16">
        <f>LEFT(E10,FIND("（10分）×",E10)-1)*RIGHT(E10,LEN(E10)-FIND("×",E10))+LEFT(E11,FIND("（時間）×",E11)-1)*RIGHT(E11,LEN(E11)-FIND("×",E11))</f>
        <v>0</v>
      </c>
      <c r="F9" s="16">
        <v>12180</v>
      </c>
      <c r="G9" s="16">
        <f>LEFT(G10,FIND("（受験生）×",G10)-1)*RIGHT(G10,LEN(G10)-FIND("×",G10))+LEFT(G11,FIND("（高校生）×",G11)-1)*RIGHT(G11,LEN(G11)-FIND("×",G11))</f>
        <v>4800</v>
      </c>
      <c r="H9" s="16">
        <f>IF(H8&lt;&gt;"",LEFT(H10,FIND("×",H10)-1)*RIGHT(H10,LEN(H10)-FIND("×",H10))+IF(H11&lt;&gt;"",LEFT(H11,FIND("×",H11)-1)*RIGHT(H11,LEN(H11)-FIND("×",H11)),0),"")</f>
        <v>0</v>
      </c>
      <c r="I9" s="16">
        <f>IF(I8&lt;&gt;"",LEFT(I10,FIND("×",I10)-1)*RIGHT(I10,LEN(I10)-FIND("×",I10))+IF(I11&lt;&gt;"",LEFT(I11,FIND("×",I11)-1)*RIGHT(I11,LEN(I11)-FIND("×",I11)),0),"")</f>
        <v>0</v>
      </c>
      <c r="J9" s="16">
        <f>IF(J8&lt;&gt;"",LEFT(J10,FIND("×",J10)-1)*RIGHT(J10,LEN(J10)-FIND("×",J10))+IF(J11&lt;&gt;"",LEFT(J11,FIND("×",J11)-1)*RIGHT(J11,LEN(J11)-FIND("×",J11)),0),"")</f>
        <v>0</v>
      </c>
      <c r="K9" s="16">
        <f>IF(K8&lt;&gt;"",LEFT(K10,FIND("×",K10)-1)*RIGHT(K10,LEN(K10)-FIND("×",K10))+IF(K11&lt;&gt;"",LEFT(K11,FIND("×",K11)-1)*RIGHT(K11,LEN(K11)-FIND("×",K11)),0),"")</f>
        <v>0</v>
      </c>
      <c r="L9" s="34"/>
    </row>
    <row r="10" spans="1:12" ht="12" customHeight="1">
      <c r="B10" s="49"/>
      <c r="C10" s="52" t="s">
        <v>113</v>
      </c>
      <c r="D10" s="53"/>
      <c r="E10" s="19" t="s">
        <v>43</v>
      </c>
      <c r="F10" s="27" t="s">
        <v>123</v>
      </c>
      <c r="G10" s="28" t="s">
        <v>95</v>
      </c>
      <c r="H10" s="27" t="s">
        <v>86</v>
      </c>
      <c r="I10" s="29" t="s">
        <v>16</v>
      </c>
      <c r="J10" s="27" t="s">
        <v>68</v>
      </c>
      <c r="K10" s="29" t="s">
        <v>62</v>
      </c>
      <c r="L10" s="30" t="s">
        <v>17</v>
      </c>
    </row>
    <row r="11" spans="1:12" ht="12" customHeight="1">
      <c r="B11" s="43"/>
      <c r="C11" s="54"/>
      <c r="D11" s="55"/>
      <c r="E11" s="20" t="s">
        <v>54</v>
      </c>
      <c r="F11" s="31" t="s">
        <v>124</v>
      </c>
      <c r="G11" s="21" t="s">
        <v>77</v>
      </c>
      <c r="H11" s="18"/>
      <c r="I11" s="21" t="s">
        <v>33</v>
      </c>
      <c r="J11" s="31"/>
      <c r="K11" s="21"/>
      <c r="L11" s="32">
        <f>SUM(C9:L9)</f>
        <v>54780</v>
      </c>
    </row>
    <row r="12" spans="1:12" ht="1.5" customHeight="1">
      <c r="B12" s="33"/>
      <c r="C12" s="17"/>
      <c r="D12" s="17"/>
      <c r="E12" s="17"/>
      <c r="F12" s="17"/>
      <c r="G12" s="17"/>
      <c r="H12" s="17"/>
      <c r="I12" s="17"/>
      <c r="J12" s="17"/>
      <c r="K12" s="17"/>
      <c r="L12" s="17"/>
    </row>
    <row r="13" spans="1:12" ht="12" customHeight="1">
      <c r="B13" s="56" t="s">
        <v>19</v>
      </c>
      <c r="C13" s="44" t="s">
        <v>20</v>
      </c>
      <c r="D13" s="45"/>
      <c r="E13" s="13" t="s">
        <v>21</v>
      </c>
      <c r="F13" s="13" t="s">
        <v>22</v>
      </c>
      <c r="G13" s="13"/>
      <c r="H13" s="14" t="s">
        <v>23</v>
      </c>
      <c r="I13" s="13" t="s">
        <v>24</v>
      </c>
      <c r="J13" s="14" t="s">
        <v>25</v>
      </c>
      <c r="K13" s="13" t="s">
        <v>26</v>
      </c>
      <c r="L13" s="15" t="s">
        <v>27</v>
      </c>
    </row>
    <row r="14" spans="1:12" ht="12" customHeight="1">
      <c r="B14" s="49"/>
      <c r="C14" s="57">
        <v>0</v>
      </c>
      <c r="D14" s="47"/>
      <c r="E14" s="34">
        <v>0</v>
      </c>
      <c r="F14" s="35">
        <v>0</v>
      </c>
      <c r="G14" s="34"/>
      <c r="H14" s="35">
        <f>SUM(C14:G14)</f>
        <v>0</v>
      </c>
      <c r="I14" s="34">
        <f>L11-K9-H14</f>
        <v>54780</v>
      </c>
      <c r="J14" s="35">
        <v>0</v>
      </c>
      <c r="K14" s="34">
        <v>0</v>
      </c>
      <c r="L14" s="32">
        <f>SUM(J14:K14)</f>
        <v>0</v>
      </c>
    </row>
    <row r="15" spans="1:12" ht="12" customHeight="1">
      <c r="B15" s="49"/>
      <c r="C15" s="44"/>
      <c r="D15" s="45"/>
      <c r="E15" s="13"/>
      <c r="F15" s="14"/>
      <c r="G15" s="13"/>
      <c r="H15" s="14"/>
      <c r="I15" s="13"/>
      <c r="J15" s="14"/>
      <c r="K15" s="13"/>
      <c r="L15" s="15" t="s">
        <v>28</v>
      </c>
    </row>
    <row r="16" spans="1:12" ht="12" customHeight="1">
      <c r="B16" s="43"/>
      <c r="C16" s="51"/>
      <c r="D16" s="47"/>
      <c r="E16" s="34"/>
      <c r="F16" s="35"/>
      <c r="G16" s="34"/>
      <c r="H16" s="35"/>
      <c r="I16" s="34"/>
      <c r="J16" s="35"/>
      <c r="K16" s="34"/>
      <c r="L16" s="32">
        <f>H14+L14</f>
        <v>0</v>
      </c>
    </row>
    <row r="17" spans="2:12" ht="1.5" customHeight="1">
      <c r="C17" s="36"/>
      <c r="D17" s="36"/>
      <c r="E17" s="36"/>
      <c r="F17" s="36"/>
      <c r="G17" s="36"/>
      <c r="H17" s="36"/>
      <c r="I17" s="36"/>
      <c r="J17" s="36"/>
      <c r="K17" s="36"/>
      <c r="L17" s="36"/>
    </row>
    <row r="18" spans="2:12" ht="12" customHeight="1">
      <c r="B18" s="42" t="s">
        <v>29</v>
      </c>
      <c r="C18" s="44" t="s">
        <v>17</v>
      </c>
      <c r="D18" s="45"/>
      <c r="E18" s="13" t="s">
        <v>28</v>
      </c>
      <c r="F18" s="14"/>
      <c r="G18" s="13"/>
      <c r="H18" s="14"/>
      <c r="I18" s="13"/>
      <c r="J18" s="14"/>
      <c r="K18" s="13" t="s">
        <v>30</v>
      </c>
      <c r="L18" s="15" t="s">
        <v>31</v>
      </c>
    </row>
    <row r="19" spans="2:12" ht="12" customHeight="1">
      <c r="B19" s="43"/>
      <c r="C19" s="46">
        <f>L11</f>
        <v>54780</v>
      </c>
      <c r="D19" s="47"/>
      <c r="E19" s="34">
        <f>L16</f>
        <v>0</v>
      </c>
      <c r="F19" s="35"/>
      <c r="G19" s="34"/>
      <c r="H19" s="35"/>
      <c r="I19" s="34"/>
      <c r="J19" s="35"/>
      <c r="K19" s="34">
        <f>L19-J19</f>
        <v>54780</v>
      </c>
      <c r="L19" s="32">
        <f>C19-E19</f>
        <v>54780</v>
      </c>
    </row>
    <row r="20" spans="2:12" ht="18.75" customHeight="1"/>
    <row r="21" spans="2:12" ht="18.75" customHeight="1"/>
    <row r="22" spans="2:12" ht="18.75" customHeight="1"/>
    <row r="23" spans="2:12" ht="18.75" customHeight="1"/>
    <row r="24" spans="2:12" ht="18.75" customHeight="1"/>
    <row r="25" spans="2:12" ht="18.75" customHeight="1"/>
    <row r="26" spans="2:12" ht="18.75" customHeight="1"/>
    <row r="27" spans="2:12" ht="18.75" customHeight="1"/>
    <row r="28" spans="2:12" ht="18.75" customHeight="1"/>
    <row r="29" spans="2:12" ht="18.75" customHeight="1"/>
    <row r="30" spans="2:12" ht="18.75" customHeight="1"/>
    <row r="31" spans="2:12" ht="18.75" customHeight="1"/>
    <row r="32" spans="2:1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</sheetData>
  <mergeCells count="19">
    <mergeCell ref="C16:D16"/>
    <mergeCell ref="C18:D18"/>
    <mergeCell ref="C19:D19"/>
    <mergeCell ref="A2:B2"/>
    <mergeCell ref="B8:B11"/>
    <mergeCell ref="B13:B16"/>
    <mergeCell ref="B18:B19"/>
    <mergeCell ref="B3:F3"/>
    <mergeCell ref="B4:C4"/>
    <mergeCell ref="D4:E4"/>
    <mergeCell ref="C14:D14"/>
    <mergeCell ref="B5:C5"/>
    <mergeCell ref="D5:E5"/>
    <mergeCell ref="C11:D11"/>
    <mergeCell ref="C13:D13"/>
    <mergeCell ref="C8:D8"/>
    <mergeCell ref="C9:D9"/>
    <mergeCell ref="C10:D10"/>
    <mergeCell ref="C15:D15"/>
  </mergeCells>
  <phoneticPr fontId="16"/>
  <pageMargins left="0.7" right="0.7" top="0.75" bottom="0.75" header="0" footer="0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974"/>
  <sheetViews>
    <sheetView zoomScale="114" workbookViewId="0">
      <selection activeCell="C11" sqref="C11:D11"/>
    </sheetView>
  </sheetViews>
  <sheetFormatPr defaultColWidth="14.3984375" defaultRowHeight="15" customHeight="1"/>
  <cols>
    <col min="1" max="26" width="8.73046875" customWidth="1"/>
  </cols>
  <sheetData>
    <row r="1" spans="1:12" ht="18.75" customHeight="1"/>
    <row r="2" spans="1:12" ht="18" customHeight="1">
      <c r="A2" s="58">
        <v>2025</v>
      </c>
      <c r="B2" s="59"/>
      <c r="C2" s="2" t="s">
        <v>0</v>
      </c>
      <c r="D2" s="3"/>
      <c r="E2" s="3" t="s">
        <v>104</v>
      </c>
    </row>
    <row r="3" spans="1:12" ht="18" customHeight="1">
      <c r="B3" s="60" t="s">
        <v>1</v>
      </c>
      <c r="C3" s="61"/>
      <c r="D3" s="61"/>
      <c r="E3" s="61"/>
      <c r="F3" s="62"/>
      <c r="H3" s="4"/>
      <c r="I3" s="5"/>
      <c r="J3" s="6"/>
    </row>
    <row r="4" spans="1:12" ht="18" customHeight="1">
      <c r="B4" s="63"/>
      <c r="C4" s="59"/>
      <c r="D4" s="64" t="s">
        <v>2</v>
      </c>
      <c r="E4" s="59"/>
      <c r="F4" s="7"/>
      <c r="G4" s="37" t="s">
        <v>3</v>
      </c>
      <c r="H4" s="8"/>
    </row>
    <row r="5" spans="1:12" ht="18" customHeight="1">
      <c r="B5" s="65" t="s">
        <v>4</v>
      </c>
      <c r="C5" s="66"/>
      <c r="D5" s="67" t="s">
        <v>41</v>
      </c>
      <c r="E5" s="66"/>
      <c r="F5" s="9" t="s">
        <v>5</v>
      </c>
      <c r="G5" s="10">
        <v>8</v>
      </c>
      <c r="J5" s="11"/>
    </row>
    <row r="6" spans="1:12" ht="1.5" customHeight="1">
      <c r="B6" s="12"/>
      <c r="J6" s="11"/>
    </row>
    <row r="7" spans="1:12" ht="1.5" customHeight="1">
      <c r="B7" s="22"/>
      <c r="C7" s="17"/>
      <c r="D7" s="17"/>
      <c r="E7" s="17"/>
      <c r="F7" s="23"/>
      <c r="G7" s="17"/>
      <c r="H7" s="17"/>
      <c r="I7" s="17"/>
      <c r="J7" s="17"/>
      <c r="K7" s="17"/>
      <c r="L7" s="17"/>
    </row>
    <row r="8" spans="1:12" ht="12" customHeight="1">
      <c r="A8" s="24"/>
      <c r="B8" s="48" t="s">
        <v>6</v>
      </c>
      <c r="C8" s="50" t="s">
        <v>37</v>
      </c>
      <c r="D8" s="45"/>
      <c r="E8" s="25" t="s">
        <v>8</v>
      </c>
      <c r="F8" s="14" t="s">
        <v>73</v>
      </c>
      <c r="G8" s="26" t="s">
        <v>63</v>
      </c>
      <c r="H8" s="14" t="s">
        <v>11</v>
      </c>
      <c r="I8" s="13" t="s">
        <v>12</v>
      </c>
      <c r="J8" s="13" t="s">
        <v>13</v>
      </c>
      <c r="K8" s="13" t="s">
        <v>14</v>
      </c>
      <c r="L8" s="15"/>
    </row>
    <row r="9" spans="1:12" ht="12" customHeight="1">
      <c r="B9" s="49"/>
      <c r="C9" s="51">
        <f>LEFT(C10,FIND("×",C10)-1)*RIGHT(C10,LEN(C10)-FIND("×",C10))+IF(C11&lt;&gt;"",LEFT(C11,FIND("×",C11)-1)*RIGHT(C11,LEN(C11)-FIND("×",C11)),0)</f>
        <v>18900</v>
      </c>
      <c r="D9" s="47"/>
      <c r="E9" s="16">
        <f>LEFT(E10,FIND("（10分）×",E10)-1)*RIGHT(E10,LEN(E10)-FIND("×",E10))+LEFT(E11,FIND("（時間）×",E11)-1)*RIGHT(E11,LEN(E11)-FIND("×",E11))</f>
        <v>0</v>
      </c>
      <c r="F9" s="16">
        <v>0</v>
      </c>
      <c r="G9" s="16">
        <f>LEFT(G10,FIND("（受験生）×",G10)-1)*RIGHT(G10,LEN(G10)-FIND("×",G10))+LEFT(G11,FIND("（高校生）×",G11)-1)*RIGHT(G11,LEN(G11)-FIND("×",G11))</f>
        <v>0</v>
      </c>
      <c r="H9" s="16">
        <f>IF(H8&lt;&gt;"",LEFT(H10,FIND("×",H10)-1)*RIGHT(H10,LEN(H10)-FIND("×",H10))+IF(H11&lt;&gt;"",LEFT(H11,FIND("×",H11)-1)*RIGHT(H11,LEN(H11)-FIND("×",H11)),0),"")</f>
        <v>0</v>
      </c>
      <c r="I9" s="16">
        <f>IF(I8&lt;&gt;"",LEFT(I10,FIND("×",I10)-1)*RIGHT(I10,LEN(I10)-FIND("×",I10))+IF(I11&lt;&gt;"",LEFT(I11,FIND("×",I11)-1)*RIGHT(I11,LEN(I11)-FIND("×",I11)),0),"")</f>
        <v>0</v>
      </c>
      <c r="J9" s="16">
        <f>IF(J8&lt;&gt;"",LEFT(J10,FIND("×",J10)-1)*RIGHT(J10,LEN(J10)-FIND("×",J10))+IF(J11&lt;&gt;"",LEFT(J11,FIND("×",J11)-1)*RIGHT(J11,LEN(J11)-FIND("×",J11)),0),"")</f>
        <v>0</v>
      </c>
      <c r="K9" s="16">
        <f>IF(K8&lt;&gt;"",LEFT(K10,FIND("×",K10)-1)*RIGHT(K10,LEN(K10)-FIND("×",K10))+IF(K11&lt;&gt;"",LEFT(K11,FIND("×",K11)-1)*RIGHT(K11,LEN(K11)-FIND("×",K11)),0),"")</f>
        <v>0</v>
      </c>
      <c r="L9" s="34"/>
    </row>
    <row r="10" spans="1:12" ht="12" customHeight="1">
      <c r="B10" s="49"/>
      <c r="C10" s="52" t="s">
        <v>114</v>
      </c>
      <c r="D10" s="53"/>
      <c r="E10" s="19" t="s">
        <v>40</v>
      </c>
      <c r="F10" s="27">
        <v>0</v>
      </c>
      <c r="G10" s="28" t="s">
        <v>84</v>
      </c>
      <c r="H10" s="27" t="s">
        <v>55</v>
      </c>
      <c r="I10" s="29" t="s">
        <v>16</v>
      </c>
      <c r="J10" s="27" t="s">
        <v>32</v>
      </c>
      <c r="K10" s="29" t="s">
        <v>39</v>
      </c>
      <c r="L10" s="30" t="s">
        <v>17</v>
      </c>
    </row>
    <row r="11" spans="1:12" ht="12" customHeight="1">
      <c r="B11" s="43"/>
      <c r="C11" s="52"/>
      <c r="D11" s="53"/>
      <c r="E11" s="20" t="s">
        <v>56</v>
      </c>
      <c r="F11" s="31"/>
      <c r="G11" s="21" t="s">
        <v>67</v>
      </c>
      <c r="H11" s="38"/>
      <c r="I11" s="21" t="s">
        <v>33</v>
      </c>
      <c r="J11" s="31"/>
      <c r="K11" s="21"/>
      <c r="L11" s="32">
        <f>SUM(C9:L9)</f>
        <v>18900</v>
      </c>
    </row>
    <row r="12" spans="1:12" ht="1.5" customHeight="1">
      <c r="B12" s="33"/>
      <c r="C12" s="17"/>
      <c r="D12" s="17"/>
      <c r="E12" s="17"/>
      <c r="F12" s="17"/>
      <c r="G12" s="17"/>
      <c r="H12" s="17"/>
      <c r="I12" s="17"/>
      <c r="J12" s="17"/>
      <c r="K12" s="17"/>
      <c r="L12" s="17"/>
    </row>
    <row r="13" spans="1:12" ht="12" customHeight="1">
      <c r="B13" s="56" t="s">
        <v>19</v>
      </c>
      <c r="C13" s="44" t="s">
        <v>20</v>
      </c>
      <c r="D13" s="45"/>
      <c r="E13" s="13" t="s">
        <v>21</v>
      </c>
      <c r="F13" s="13" t="s">
        <v>22</v>
      </c>
      <c r="G13" s="13"/>
      <c r="H13" s="14" t="s">
        <v>23</v>
      </c>
      <c r="I13" s="13" t="s">
        <v>24</v>
      </c>
      <c r="J13" s="14" t="s">
        <v>25</v>
      </c>
      <c r="K13" s="13" t="s">
        <v>26</v>
      </c>
      <c r="L13" s="15" t="s">
        <v>27</v>
      </c>
    </row>
    <row r="14" spans="1:12" ht="12" customHeight="1">
      <c r="B14" s="49"/>
      <c r="C14" s="57">
        <v>0</v>
      </c>
      <c r="D14" s="47"/>
      <c r="E14" s="34">
        <v>0</v>
      </c>
      <c r="F14" s="35">
        <v>0</v>
      </c>
      <c r="G14" s="34"/>
      <c r="H14" s="35">
        <f>SUM(C14:G14)</f>
        <v>0</v>
      </c>
      <c r="I14" s="34">
        <f>L11-K9-H14</f>
        <v>18900</v>
      </c>
      <c r="J14" s="35">
        <v>0</v>
      </c>
      <c r="K14" s="34">
        <v>0</v>
      </c>
      <c r="L14" s="32">
        <f>SUM(J14:K14)</f>
        <v>0</v>
      </c>
    </row>
    <row r="15" spans="1:12" ht="12" customHeight="1">
      <c r="B15" s="49"/>
      <c r="C15" s="44"/>
      <c r="D15" s="45"/>
      <c r="E15" s="13"/>
      <c r="F15" s="14"/>
      <c r="G15" s="13"/>
      <c r="H15" s="14"/>
      <c r="I15" s="13"/>
      <c r="J15" s="14"/>
      <c r="K15" s="13"/>
      <c r="L15" s="15" t="s">
        <v>28</v>
      </c>
    </row>
    <row r="16" spans="1:12" ht="12" customHeight="1">
      <c r="B16" s="43"/>
      <c r="C16" s="51"/>
      <c r="D16" s="47"/>
      <c r="E16" s="34"/>
      <c r="F16" s="35"/>
      <c r="G16" s="34"/>
      <c r="H16" s="35"/>
      <c r="I16" s="34"/>
      <c r="J16" s="35"/>
      <c r="K16" s="34"/>
      <c r="L16" s="32">
        <f>H14+L14</f>
        <v>0</v>
      </c>
    </row>
    <row r="17" spans="2:12" ht="1.5" customHeight="1">
      <c r="C17" s="36"/>
      <c r="D17" s="36"/>
      <c r="E17" s="36"/>
      <c r="F17" s="36"/>
      <c r="G17" s="36"/>
      <c r="H17" s="36"/>
      <c r="I17" s="36"/>
      <c r="J17" s="36"/>
      <c r="K17" s="36"/>
      <c r="L17" s="36"/>
    </row>
    <row r="18" spans="2:12" ht="12" customHeight="1">
      <c r="B18" s="42" t="s">
        <v>29</v>
      </c>
      <c r="C18" s="44" t="s">
        <v>17</v>
      </c>
      <c r="D18" s="45"/>
      <c r="E18" s="13" t="s">
        <v>28</v>
      </c>
      <c r="F18" s="14"/>
      <c r="G18" s="13"/>
      <c r="H18" s="14"/>
      <c r="I18" s="13"/>
      <c r="J18" s="14"/>
      <c r="K18" s="13" t="s">
        <v>30</v>
      </c>
      <c r="L18" s="15" t="s">
        <v>31</v>
      </c>
    </row>
    <row r="19" spans="2:12" ht="12" customHeight="1">
      <c r="B19" s="43"/>
      <c r="C19" s="46">
        <f>L11</f>
        <v>18900</v>
      </c>
      <c r="D19" s="47"/>
      <c r="E19" s="34">
        <f>L16</f>
        <v>0</v>
      </c>
      <c r="F19" s="35"/>
      <c r="G19" s="34"/>
      <c r="H19" s="35"/>
      <c r="I19" s="34"/>
      <c r="J19" s="35"/>
      <c r="K19" s="34">
        <f>L19-J19</f>
        <v>18900</v>
      </c>
      <c r="L19" s="32">
        <f>C19-E19</f>
        <v>18900</v>
      </c>
    </row>
    <row r="20" spans="2:12" ht="18.75" customHeight="1"/>
    <row r="21" spans="2:12" ht="18.75" customHeight="1"/>
    <row r="22" spans="2:12" ht="18.75" customHeight="1"/>
    <row r="23" spans="2:12" ht="18.75" customHeight="1"/>
    <row r="24" spans="2:12" ht="18.75" customHeight="1"/>
    <row r="25" spans="2:12" ht="18.75" customHeight="1"/>
    <row r="26" spans="2:12" ht="18.75" customHeight="1"/>
    <row r="27" spans="2:12" ht="18.75" customHeight="1"/>
    <row r="28" spans="2:12" ht="18.75" customHeight="1"/>
    <row r="29" spans="2:12" ht="18.75" customHeight="1"/>
    <row r="30" spans="2:12" ht="18.75" customHeight="1"/>
    <row r="31" spans="2:12" ht="18.75" customHeight="1"/>
    <row r="32" spans="2:1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</sheetData>
  <mergeCells count="19">
    <mergeCell ref="A2:B2"/>
    <mergeCell ref="B8:B11"/>
    <mergeCell ref="B13:B16"/>
    <mergeCell ref="C8:D8"/>
    <mergeCell ref="C11:D11"/>
    <mergeCell ref="C13:D13"/>
    <mergeCell ref="C14:D14"/>
    <mergeCell ref="B18:B19"/>
    <mergeCell ref="B3:F3"/>
    <mergeCell ref="B4:C4"/>
    <mergeCell ref="D4:E4"/>
    <mergeCell ref="B5:C5"/>
    <mergeCell ref="D5:E5"/>
    <mergeCell ref="C15:D15"/>
    <mergeCell ref="C16:D16"/>
    <mergeCell ref="C18:D18"/>
    <mergeCell ref="C19:D19"/>
    <mergeCell ref="C9:D9"/>
    <mergeCell ref="C10:D10"/>
  </mergeCells>
  <phoneticPr fontId="16"/>
  <pageMargins left="0.7" right="0.7" top="0.75" bottom="0.75" header="0" footer="0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996"/>
  <sheetViews>
    <sheetView zoomScale="86" workbookViewId="0">
      <selection activeCell="G11" sqref="G11"/>
    </sheetView>
  </sheetViews>
  <sheetFormatPr defaultColWidth="14.3984375" defaultRowHeight="15" customHeight="1"/>
  <cols>
    <col min="1" max="26" width="8.73046875" customWidth="1"/>
  </cols>
  <sheetData>
    <row r="1" spans="1:12" ht="18" customHeight="1">
      <c r="A1" s="58">
        <v>2025</v>
      </c>
      <c r="B1" s="59"/>
      <c r="C1" s="2" t="s">
        <v>0</v>
      </c>
      <c r="D1" s="3"/>
      <c r="E1" s="3" t="s">
        <v>104</v>
      </c>
    </row>
    <row r="2" spans="1:12" ht="18" customHeight="1">
      <c r="B2" s="60" t="s">
        <v>1</v>
      </c>
      <c r="C2" s="61"/>
      <c r="D2" s="61"/>
      <c r="E2" s="61"/>
      <c r="F2" s="62"/>
      <c r="H2" s="4"/>
      <c r="I2" s="5"/>
      <c r="J2" s="6"/>
    </row>
    <row r="3" spans="1:12" ht="18" customHeight="1">
      <c r="B3" s="63"/>
      <c r="C3" s="59"/>
      <c r="D3" s="64" t="s">
        <v>2</v>
      </c>
      <c r="E3" s="59"/>
      <c r="F3" s="7"/>
      <c r="G3" s="37" t="s">
        <v>3</v>
      </c>
      <c r="H3" s="8"/>
    </row>
    <row r="4" spans="1:12" ht="18" customHeight="1">
      <c r="B4" s="65" t="s">
        <v>4</v>
      </c>
      <c r="C4" s="66"/>
      <c r="D4" s="67" t="s">
        <v>49</v>
      </c>
      <c r="E4" s="66"/>
      <c r="F4" s="9" t="s">
        <v>5</v>
      </c>
      <c r="G4" s="10">
        <v>11</v>
      </c>
      <c r="J4" s="11"/>
    </row>
    <row r="5" spans="1:12" ht="1.5" customHeight="1">
      <c r="B5" s="12"/>
      <c r="J5" s="11"/>
    </row>
    <row r="6" spans="1:12" ht="1.5" customHeight="1">
      <c r="B6" s="22"/>
      <c r="C6" s="17"/>
      <c r="D6" s="17"/>
      <c r="E6" s="17"/>
      <c r="F6" s="23"/>
      <c r="G6" s="17"/>
      <c r="H6" s="17"/>
      <c r="I6" s="17"/>
      <c r="J6" s="17"/>
      <c r="K6" s="17"/>
      <c r="L6" s="17"/>
    </row>
    <row r="7" spans="1:12" ht="12" customHeight="1">
      <c r="A7" s="24"/>
      <c r="B7" s="48" t="s">
        <v>6</v>
      </c>
      <c r="C7" s="50" t="s">
        <v>37</v>
      </c>
      <c r="D7" s="45"/>
      <c r="E7" s="25" t="s">
        <v>8</v>
      </c>
      <c r="F7" s="14" t="s">
        <v>73</v>
      </c>
      <c r="G7" s="26" t="s">
        <v>63</v>
      </c>
      <c r="H7" s="14" t="s">
        <v>11</v>
      </c>
      <c r="I7" s="13" t="s">
        <v>12</v>
      </c>
      <c r="J7" s="13" t="s">
        <v>13</v>
      </c>
      <c r="K7" s="13" t="s">
        <v>14</v>
      </c>
      <c r="L7" s="15"/>
    </row>
    <row r="8" spans="1:12" ht="12" customHeight="1">
      <c r="B8" s="49"/>
      <c r="C8" s="51">
        <f>LEFT(C9,FIND("×",C9)-1)*RIGHT(C9,LEN(C9)-FIND("×",C9))+IF(C10&lt;&gt;"",LEFT(C10,FIND("×",C10)-1)*RIGHT(C10,LEN(C10)-FIND("×",C10)),0)</f>
        <v>52000</v>
      </c>
      <c r="D8" s="47"/>
      <c r="E8" s="16">
        <f>LEFT(E9,FIND("（10分）×",E9)-1)*RIGHT(E9,LEN(E9)-FIND("×",E9))+LEFT(E10,FIND("（時間）×",E10)-1)*RIGHT(E10,LEN(E10)-FIND("×",E10))</f>
        <v>0</v>
      </c>
      <c r="F8" s="16">
        <v>0</v>
      </c>
      <c r="G8" s="16">
        <f>LEFT(G9,FIND("（受験生）×",G9)-1)*RIGHT(G9,LEN(G9)-FIND("×",G9))+LEFT(G10,FIND("（高校生）×",G10)-1)*RIGHT(G10,LEN(G10)-FIND("×",G10))</f>
        <v>0</v>
      </c>
      <c r="H8" s="16">
        <f>IF(H7&lt;&gt;"",LEFT(H9,FIND("×",H9)-1)*RIGHT(H9,LEN(H9)-FIND("×",H9))+IF(H10&lt;&gt;"",LEFT(H10,FIND("×",H10)-1)*RIGHT(H10,LEN(H10)-FIND("×",H10)),0),"")</f>
        <v>0</v>
      </c>
      <c r="I8" s="16">
        <f>IF(I7&lt;&gt;"",LEFT(I9,FIND("×",I9)-1)*RIGHT(I9,LEN(I9)-FIND("×",I9))+IF(I10&lt;&gt;"",LEFT(I10,FIND("×",I10)-1)*RIGHT(I10,LEN(I10)-FIND("×",I10)),0),"")</f>
        <v>0</v>
      </c>
      <c r="J8" s="16">
        <f>IF(J7&lt;&gt;"",LEFT(J9,FIND("×",J9)-1)*RIGHT(J9,LEN(J9)-FIND("×",J9))+IF(J10&lt;&gt;"",LEFT(J10,FIND("×",J10)-1)*RIGHT(J10,LEN(J10)-FIND("×",J10)),0),"")</f>
        <v>0</v>
      </c>
      <c r="K8" s="16">
        <f>IF(K7&lt;&gt;"",LEFT(K9,FIND("×",K9)-1)*RIGHT(K9,LEN(K9)-FIND("×",K9))+IF(K10&lt;&gt;"",LEFT(K10,FIND("×",K10)-1)*RIGHT(K10,LEN(K10)-FIND("×",K10)),0),"")</f>
        <v>0</v>
      </c>
      <c r="L8" s="34"/>
    </row>
    <row r="9" spans="1:12" ht="12" customHeight="1">
      <c r="B9" s="49"/>
      <c r="C9" s="52" t="s">
        <v>116</v>
      </c>
      <c r="D9" s="53"/>
      <c r="E9" s="19" t="s">
        <v>46</v>
      </c>
      <c r="F9" s="27">
        <v>5000</v>
      </c>
      <c r="G9" s="28" t="s">
        <v>84</v>
      </c>
      <c r="H9" s="27" t="s">
        <v>86</v>
      </c>
      <c r="I9" s="29" t="s">
        <v>16</v>
      </c>
      <c r="J9" s="27" t="s">
        <v>68</v>
      </c>
      <c r="K9" s="29" t="s">
        <v>39</v>
      </c>
      <c r="L9" s="30" t="s">
        <v>17</v>
      </c>
    </row>
    <row r="10" spans="1:12" ht="12" customHeight="1">
      <c r="B10" s="43"/>
      <c r="C10" s="52"/>
      <c r="D10" s="53"/>
      <c r="E10" s="20" t="s">
        <v>48</v>
      </c>
      <c r="F10" s="31">
        <v>0</v>
      </c>
      <c r="G10" s="21" t="s">
        <v>87</v>
      </c>
      <c r="H10" s="27" t="s">
        <v>79</v>
      </c>
      <c r="I10" s="29" t="s">
        <v>33</v>
      </c>
      <c r="J10" s="31"/>
      <c r="K10" s="29"/>
      <c r="L10" s="32">
        <f>SUM(C8:L8)</f>
        <v>52000</v>
      </c>
    </row>
    <row r="11" spans="1:12" ht="1.5" customHeight="1">
      <c r="B11" s="33"/>
      <c r="C11" s="17"/>
      <c r="D11" s="17"/>
      <c r="E11" s="17"/>
      <c r="F11" s="17"/>
      <c r="G11" s="17"/>
      <c r="H11" s="17"/>
      <c r="I11" s="17"/>
      <c r="J11" s="17"/>
      <c r="K11" s="17"/>
      <c r="L11" s="17"/>
    </row>
    <row r="12" spans="1:12" ht="12" customHeight="1">
      <c r="B12" s="56" t="s">
        <v>19</v>
      </c>
      <c r="C12" s="44" t="s">
        <v>20</v>
      </c>
      <c r="D12" s="45"/>
      <c r="E12" s="13" t="s">
        <v>21</v>
      </c>
      <c r="F12" s="13" t="s">
        <v>22</v>
      </c>
      <c r="G12" s="13"/>
      <c r="H12" s="14" t="s">
        <v>23</v>
      </c>
      <c r="I12" s="13" t="s">
        <v>24</v>
      </c>
      <c r="J12" s="14" t="s">
        <v>25</v>
      </c>
      <c r="K12" s="13" t="s">
        <v>26</v>
      </c>
      <c r="L12" s="15" t="s">
        <v>27</v>
      </c>
    </row>
    <row r="13" spans="1:12" ht="12" customHeight="1">
      <c r="B13" s="49"/>
      <c r="C13" s="57">
        <v>0</v>
      </c>
      <c r="D13" s="47"/>
      <c r="E13" s="34">
        <v>0</v>
      </c>
      <c r="F13" s="35">
        <v>0</v>
      </c>
      <c r="G13" s="34"/>
      <c r="H13" s="35">
        <f>SUM(C13:G13)</f>
        <v>0</v>
      </c>
      <c r="I13" s="34">
        <f>L10-K8-H13</f>
        <v>52000</v>
      </c>
      <c r="J13" s="35">
        <v>0</v>
      </c>
      <c r="K13" s="34">
        <v>0</v>
      </c>
      <c r="L13" s="32">
        <f>SUM(J13:K13)</f>
        <v>0</v>
      </c>
    </row>
    <row r="14" spans="1:12" ht="12" customHeight="1">
      <c r="B14" s="49"/>
      <c r="C14" s="44"/>
      <c r="D14" s="45"/>
      <c r="E14" s="13"/>
      <c r="F14" s="14"/>
      <c r="G14" s="13"/>
      <c r="H14" s="14"/>
      <c r="I14" s="13"/>
      <c r="J14" s="14"/>
      <c r="K14" s="13"/>
      <c r="L14" s="15" t="s">
        <v>28</v>
      </c>
    </row>
    <row r="15" spans="1:12" ht="12" customHeight="1">
      <c r="B15" s="43"/>
      <c r="C15" s="51"/>
      <c r="D15" s="47"/>
      <c r="E15" s="34"/>
      <c r="F15" s="35"/>
      <c r="G15" s="34"/>
      <c r="H15" s="35"/>
      <c r="I15" s="34"/>
      <c r="J15" s="35"/>
      <c r="K15" s="34"/>
      <c r="L15" s="32">
        <f>H13+L13</f>
        <v>0</v>
      </c>
    </row>
    <row r="16" spans="1:12" ht="1.5" customHeight="1">
      <c r="C16" s="36"/>
      <c r="D16" s="36"/>
      <c r="E16" s="36"/>
      <c r="F16" s="36"/>
      <c r="G16" s="36"/>
      <c r="H16" s="36"/>
      <c r="I16" s="36"/>
      <c r="J16" s="36"/>
      <c r="K16" s="36"/>
      <c r="L16" s="36"/>
    </row>
    <row r="17" spans="2:12" ht="12" customHeight="1">
      <c r="B17" s="42" t="s">
        <v>29</v>
      </c>
      <c r="C17" s="44" t="s">
        <v>17</v>
      </c>
      <c r="D17" s="45"/>
      <c r="E17" s="13" t="s">
        <v>28</v>
      </c>
      <c r="F17" s="14"/>
      <c r="G17" s="13"/>
      <c r="H17" s="14"/>
      <c r="I17" s="13"/>
      <c r="J17" s="14"/>
      <c r="K17" s="13" t="s">
        <v>30</v>
      </c>
      <c r="L17" s="15" t="s">
        <v>31</v>
      </c>
    </row>
    <row r="18" spans="2:12" ht="12" customHeight="1">
      <c r="B18" s="43"/>
      <c r="C18" s="46">
        <f>L10</f>
        <v>52000</v>
      </c>
      <c r="D18" s="47"/>
      <c r="E18" s="34">
        <f>L15</f>
        <v>0</v>
      </c>
      <c r="F18" s="35"/>
      <c r="G18" s="34"/>
      <c r="H18" s="35"/>
      <c r="I18" s="34"/>
      <c r="J18" s="35"/>
      <c r="K18" s="34">
        <f>L18-J18</f>
        <v>52000</v>
      </c>
      <c r="L18" s="32">
        <f>C18-E18</f>
        <v>52000</v>
      </c>
    </row>
    <row r="19" spans="2:12" ht="18.75" customHeight="1"/>
    <row r="20" spans="2:12" ht="18.75" customHeight="1"/>
    <row r="21" spans="2:12" ht="18.75" customHeight="1"/>
    <row r="22" spans="2:12" ht="18.75" customHeight="1"/>
    <row r="23" spans="2:12" ht="18.75" customHeight="1"/>
    <row r="24" spans="2:12" ht="18.75" customHeight="1"/>
    <row r="25" spans="2:12" ht="18.75" customHeight="1"/>
    <row r="26" spans="2:12" ht="18.75" customHeight="1"/>
    <row r="27" spans="2:12" ht="18.75" customHeight="1"/>
    <row r="28" spans="2:12" ht="18.75" customHeight="1"/>
    <row r="29" spans="2:12" ht="18.75" customHeight="1"/>
    <row r="30" spans="2:12" ht="18.75" customHeight="1"/>
    <row r="31" spans="2:12" ht="18.75" customHeight="1"/>
    <row r="32" spans="2:1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</sheetData>
  <mergeCells count="19">
    <mergeCell ref="A1:B1"/>
    <mergeCell ref="B2:F2"/>
    <mergeCell ref="B3:C3"/>
    <mergeCell ref="D3:E3"/>
    <mergeCell ref="B4:C4"/>
    <mergeCell ref="D4:E4"/>
    <mergeCell ref="B7:B10"/>
    <mergeCell ref="C7:D7"/>
    <mergeCell ref="C8:D8"/>
    <mergeCell ref="C9:D9"/>
    <mergeCell ref="C10:D10"/>
    <mergeCell ref="C14:D14"/>
    <mergeCell ref="B12:B15"/>
    <mergeCell ref="B17:B18"/>
    <mergeCell ref="C17:D17"/>
    <mergeCell ref="C18:D18"/>
    <mergeCell ref="C15:D15"/>
    <mergeCell ref="C12:D12"/>
    <mergeCell ref="C13:D13"/>
  </mergeCells>
  <phoneticPr fontId="16"/>
  <pageMargins left="0.7" right="0.7" top="0.75" bottom="0.75" header="0" footer="0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974"/>
  <sheetViews>
    <sheetView workbookViewId="0">
      <selection activeCell="G26" sqref="G26"/>
    </sheetView>
  </sheetViews>
  <sheetFormatPr defaultColWidth="14.3984375" defaultRowHeight="15" customHeight="1"/>
  <cols>
    <col min="1" max="26" width="8.73046875" customWidth="1"/>
  </cols>
  <sheetData>
    <row r="1" spans="1:12" ht="18.75" customHeight="1"/>
    <row r="2" spans="1:12" ht="18" customHeight="1">
      <c r="A2" s="58">
        <v>2025</v>
      </c>
      <c r="B2" s="59"/>
      <c r="C2" s="2" t="s">
        <v>0</v>
      </c>
      <c r="D2" s="3"/>
      <c r="E2" s="3" t="s">
        <v>104</v>
      </c>
    </row>
    <row r="3" spans="1:12" ht="18" customHeight="1">
      <c r="B3" s="60" t="s">
        <v>1</v>
      </c>
      <c r="C3" s="61"/>
      <c r="D3" s="61"/>
      <c r="E3" s="61"/>
      <c r="F3" s="62"/>
      <c r="H3" s="4"/>
      <c r="I3" s="5"/>
      <c r="J3" s="6"/>
    </row>
    <row r="4" spans="1:12" ht="18" customHeight="1">
      <c r="B4" s="63"/>
      <c r="C4" s="59"/>
      <c r="D4" s="64" t="s">
        <v>2</v>
      </c>
      <c r="E4" s="59"/>
      <c r="F4" s="7"/>
      <c r="G4" s="37" t="s">
        <v>3</v>
      </c>
      <c r="H4" s="8"/>
    </row>
    <row r="5" spans="1:12" ht="18" customHeight="1">
      <c r="B5" s="65" t="s">
        <v>4</v>
      </c>
      <c r="C5" s="66"/>
      <c r="D5" s="67" t="s">
        <v>42</v>
      </c>
      <c r="E5" s="66"/>
      <c r="F5" s="9" t="s">
        <v>5</v>
      </c>
      <c r="G5" s="10">
        <v>2</v>
      </c>
      <c r="J5" s="11"/>
    </row>
    <row r="6" spans="1:12" ht="1.5" customHeight="1">
      <c r="B6" s="12"/>
      <c r="J6" s="11"/>
    </row>
    <row r="7" spans="1:12" ht="1.5" customHeight="1">
      <c r="B7" s="22"/>
      <c r="C7" s="17"/>
      <c r="D7" s="17"/>
      <c r="E7" s="17"/>
      <c r="F7" s="23"/>
      <c r="G7" s="17"/>
      <c r="H7" s="17"/>
      <c r="I7" s="17"/>
      <c r="J7" s="17"/>
      <c r="K7" s="17"/>
      <c r="L7" s="17"/>
    </row>
    <row r="8" spans="1:12" ht="12" customHeight="1">
      <c r="A8" s="24"/>
      <c r="B8" s="48" t="s">
        <v>6</v>
      </c>
      <c r="C8" s="50" t="s">
        <v>37</v>
      </c>
      <c r="D8" s="45"/>
      <c r="E8" s="25" t="s">
        <v>8</v>
      </c>
      <c r="F8" s="14" t="s">
        <v>74</v>
      </c>
      <c r="G8" s="26" t="s">
        <v>63</v>
      </c>
      <c r="H8" s="14" t="s">
        <v>11</v>
      </c>
      <c r="I8" s="13" t="s">
        <v>12</v>
      </c>
      <c r="J8" s="13" t="s">
        <v>13</v>
      </c>
      <c r="K8" s="13" t="s">
        <v>14</v>
      </c>
      <c r="L8" s="15"/>
    </row>
    <row r="9" spans="1:12" ht="12" customHeight="1">
      <c r="B9" s="49"/>
      <c r="C9" s="51">
        <f>LEFT(C10,FIND("×",C10)-1)*RIGHT(C10,LEN(C10)-FIND("×",C10))+IF(C11&lt;&gt;"",LEFT(C11,FIND("×",C11)-1)*RIGHT(C11,LEN(C11)-FIND("×",C11)),0)</f>
        <v>12600</v>
      </c>
      <c r="D9" s="47"/>
      <c r="E9" s="16">
        <f>LEFT(E10,FIND("（10分）×",E10)-1)*RIGHT(E10,LEN(E10)-FIND("×",E10))+LEFT(E11,FIND("（時間）×",E11)-1)*RIGHT(E11,LEN(E11)-FIND("×",E11))</f>
        <v>0</v>
      </c>
      <c r="F9" s="16">
        <f>LEFT(F10,FIND("×",F10)-1)*RIGHT(F10,LEN(F10)-FIND("×",F10))+IF(F11&lt;&gt;"",LEFT(F11,FIND("×",F11)-1)*RIGHT(F11,LEN(F11)-FIND("×",F11)),0)</f>
        <v>0</v>
      </c>
      <c r="G9" s="16">
        <f>LEFT(G10,FIND("（受験生）×",G10)-1)*RIGHT(G10,LEN(G10)-FIND("×",G10))+LEFT(G11,FIND("（高校生）×",G11)-1)*RIGHT(G11,LEN(G11)-FIND("×",G11))</f>
        <v>0</v>
      </c>
      <c r="H9" s="16">
        <f>IF(H8&lt;&gt;"",LEFT(H10,FIND("×",H10)-1)*RIGHT(H10,LEN(H10)-FIND("×",H10))+IF(H11&lt;&gt;"",LEFT(H11,FIND("×",H11)-1)*RIGHT(H11,LEN(H11)-FIND("×",H11)),0),"")</f>
        <v>0</v>
      </c>
      <c r="I9" s="16">
        <f>IF(I8&lt;&gt;"",LEFT(I10,FIND("×",I10)-1)*RIGHT(I10,LEN(I10)-FIND("×",I10))+IF(I11&lt;&gt;"",LEFT(I11,FIND("×",I11)-1)*RIGHT(I11,LEN(I11)-FIND("×",I11)),0),"")</f>
        <v>0</v>
      </c>
      <c r="J9" s="16">
        <f>IF(J8&lt;&gt;"",LEFT(J10,FIND("×",J10)-1)*RIGHT(J10,LEN(J10)-FIND("×",J10))+IF(J11&lt;&gt;"",LEFT(J11,FIND("×",J11)-1)*RIGHT(J11,LEN(J11)-FIND("×",J11)),0),"")</f>
        <v>0</v>
      </c>
      <c r="K9" s="16">
        <f>IF(K8&lt;&gt;"",LEFT(K10,FIND("×",K10)-1)*RIGHT(K10,LEN(K10)-FIND("×",K10))+IF(K11&lt;&gt;"",LEFT(K11,FIND("×",K11)-1)*RIGHT(K11,LEN(K11)-FIND("×",K11)),0),"")</f>
        <v>0</v>
      </c>
      <c r="L9" s="34"/>
    </row>
    <row r="10" spans="1:12" ht="12" customHeight="1">
      <c r="B10" s="49"/>
      <c r="C10" s="52" t="s">
        <v>98</v>
      </c>
      <c r="D10" s="53"/>
      <c r="E10" s="19" t="s">
        <v>43</v>
      </c>
      <c r="F10" s="27" t="s">
        <v>72</v>
      </c>
      <c r="G10" s="28" t="s">
        <v>84</v>
      </c>
      <c r="H10" s="27" t="s">
        <v>15</v>
      </c>
      <c r="I10" s="29" t="s">
        <v>16</v>
      </c>
      <c r="J10" s="27" t="s">
        <v>68</v>
      </c>
      <c r="K10" s="29" t="s">
        <v>39</v>
      </c>
      <c r="L10" s="30" t="s">
        <v>17</v>
      </c>
    </row>
    <row r="11" spans="1:12" ht="12" customHeight="1">
      <c r="B11" s="43"/>
      <c r="C11" s="54"/>
      <c r="D11" s="47"/>
      <c r="E11" s="20" t="s">
        <v>44</v>
      </c>
      <c r="F11" s="31"/>
      <c r="G11" s="21" t="s">
        <v>87</v>
      </c>
      <c r="H11" s="31" t="s">
        <v>18</v>
      </c>
      <c r="I11" s="21" t="s">
        <v>33</v>
      </c>
      <c r="J11" s="31"/>
      <c r="K11" s="21"/>
      <c r="L11" s="32">
        <f>SUM(C9:L9)</f>
        <v>12600</v>
      </c>
    </row>
    <row r="12" spans="1:12" ht="1.5" customHeight="1">
      <c r="B12" s="33"/>
      <c r="C12" s="17"/>
      <c r="D12" s="17"/>
      <c r="E12" s="17"/>
      <c r="F12" s="17"/>
      <c r="G12" s="17"/>
      <c r="H12" s="17"/>
      <c r="I12" s="17"/>
      <c r="J12" s="17"/>
      <c r="K12" s="17"/>
      <c r="L12" s="17"/>
    </row>
    <row r="13" spans="1:12" ht="12" customHeight="1">
      <c r="B13" s="56" t="s">
        <v>19</v>
      </c>
      <c r="C13" s="44" t="s">
        <v>20</v>
      </c>
      <c r="D13" s="45"/>
      <c r="E13" s="13" t="s">
        <v>21</v>
      </c>
      <c r="F13" s="13" t="s">
        <v>22</v>
      </c>
      <c r="G13" s="13"/>
      <c r="H13" s="14" t="s">
        <v>23</v>
      </c>
      <c r="I13" s="13" t="s">
        <v>24</v>
      </c>
      <c r="J13" s="14" t="s">
        <v>25</v>
      </c>
      <c r="K13" s="13" t="s">
        <v>26</v>
      </c>
      <c r="L13" s="15" t="s">
        <v>27</v>
      </c>
    </row>
    <row r="14" spans="1:12" ht="12" customHeight="1">
      <c r="B14" s="49"/>
      <c r="C14" s="57">
        <v>0</v>
      </c>
      <c r="D14" s="47"/>
      <c r="E14" s="34">
        <v>0</v>
      </c>
      <c r="F14" s="35">
        <v>0</v>
      </c>
      <c r="G14" s="34"/>
      <c r="H14" s="35">
        <f>SUM(C14:G14)</f>
        <v>0</v>
      </c>
      <c r="I14" s="34">
        <f>L11-K9-H14</f>
        <v>12600</v>
      </c>
      <c r="J14" s="35">
        <v>0</v>
      </c>
      <c r="K14" s="34">
        <v>0</v>
      </c>
      <c r="L14" s="32">
        <f>SUM(J14:K14)</f>
        <v>0</v>
      </c>
    </row>
    <row r="15" spans="1:12" ht="12" customHeight="1">
      <c r="B15" s="49"/>
      <c r="C15" s="44"/>
      <c r="D15" s="45"/>
      <c r="E15" s="13"/>
      <c r="F15" s="14"/>
      <c r="G15" s="13"/>
      <c r="H15" s="14"/>
      <c r="I15" s="13"/>
      <c r="J15" s="14"/>
      <c r="K15" s="13"/>
      <c r="L15" s="15" t="s">
        <v>28</v>
      </c>
    </row>
    <row r="16" spans="1:12" ht="12" customHeight="1">
      <c r="B16" s="43"/>
      <c r="C16" s="51"/>
      <c r="D16" s="47"/>
      <c r="E16" s="34"/>
      <c r="F16" s="35"/>
      <c r="G16" s="34"/>
      <c r="H16" s="35"/>
      <c r="I16" s="34"/>
      <c r="J16" s="35"/>
      <c r="K16" s="34"/>
      <c r="L16" s="32">
        <f>H14+L14</f>
        <v>0</v>
      </c>
    </row>
    <row r="17" spans="2:12" ht="1.5" customHeight="1">
      <c r="C17" s="36"/>
      <c r="D17" s="36"/>
      <c r="E17" s="36"/>
      <c r="F17" s="36"/>
      <c r="G17" s="36"/>
      <c r="H17" s="36"/>
      <c r="I17" s="36"/>
      <c r="J17" s="36"/>
      <c r="K17" s="36"/>
      <c r="L17" s="36"/>
    </row>
    <row r="18" spans="2:12" ht="12" customHeight="1">
      <c r="B18" s="42" t="s">
        <v>29</v>
      </c>
      <c r="C18" s="44" t="s">
        <v>17</v>
      </c>
      <c r="D18" s="45"/>
      <c r="E18" s="13" t="s">
        <v>28</v>
      </c>
      <c r="F18" s="14"/>
      <c r="G18" s="13"/>
      <c r="H18" s="14"/>
      <c r="I18" s="13"/>
      <c r="J18" s="14"/>
      <c r="K18" s="13" t="s">
        <v>30</v>
      </c>
      <c r="L18" s="15" t="s">
        <v>31</v>
      </c>
    </row>
    <row r="19" spans="2:12" ht="12" customHeight="1">
      <c r="B19" s="43"/>
      <c r="C19" s="46">
        <f>L11</f>
        <v>12600</v>
      </c>
      <c r="D19" s="47"/>
      <c r="E19" s="34">
        <f>L16</f>
        <v>0</v>
      </c>
      <c r="F19" s="35"/>
      <c r="G19" s="34"/>
      <c r="H19" s="35"/>
      <c r="I19" s="34"/>
      <c r="J19" s="35"/>
      <c r="K19" s="34">
        <f>L19-J19</f>
        <v>12600</v>
      </c>
      <c r="L19" s="32">
        <f>C19-E19</f>
        <v>12600</v>
      </c>
    </row>
    <row r="20" spans="2:12" ht="18.75" customHeight="1"/>
    <row r="21" spans="2:12" ht="18.75" customHeight="1"/>
    <row r="22" spans="2:12" ht="18.75" customHeight="1"/>
    <row r="23" spans="2:12" ht="18.75" customHeight="1"/>
    <row r="24" spans="2:12" ht="18.75" customHeight="1"/>
    <row r="25" spans="2:12" ht="18.75" customHeight="1"/>
    <row r="26" spans="2:12" ht="18.75" customHeight="1"/>
    <row r="27" spans="2:12" ht="18.75" customHeight="1"/>
    <row r="28" spans="2:12" ht="18.75" customHeight="1"/>
    <row r="29" spans="2:12" ht="18.75" customHeight="1"/>
    <row r="30" spans="2:12" ht="18.75" customHeight="1"/>
    <row r="31" spans="2:12" ht="18.75" customHeight="1"/>
    <row r="32" spans="2:1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</sheetData>
  <mergeCells count="19">
    <mergeCell ref="A2:B2"/>
    <mergeCell ref="B8:B11"/>
    <mergeCell ref="B13:B16"/>
    <mergeCell ref="C8:D8"/>
    <mergeCell ref="C11:D11"/>
    <mergeCell ref="C13:D13"/>
    <mergeCell ref="C14:D14"/>
    <mergeCell ref="B18:B19"/>
    <mergeCell ref="B3:F3"/>
    <mergeCell ref="B4:C4"/>
    <mergeCell ref="D4:E4"/>
    <mergeCell ref="B5:C5"/>
    <mergeCell ref="D5:E5"/>
    <mergeCell ref="C15:D15"/>
    <mergeCell ref="C16:D16"/>
    <mergeCell ref="C18:D18"/>
    <mergeCell ref="C19:D19"/>
    <mergeCell ref="C9:D9"/>
    <mergeCell ref="C10:D10"/>
  </mergeCells>
  <phoneticPr fontId="16"/>
  <pageMargins left="0.7" right="0.7" top="0.75" bottom="0.75" header="0" footer="0"/>
  <pageSetup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974"/>
  <sheetViews>
    <sheetView workbookViewId="0">
      <selection activeCell="G6" sqref="G6"/>
    </sheetView>
  </sheetViews>
  <sheetFormatPr defaultColWidth="14.3984375" defaultRowHeight="15" customHeight="1"/>
  <cols>
    <col min="1" max="26" width="8.73046875" customWidth="1"/>
  </cols>
  <sheetData>
    <row r="1" spans="1:12" ht="18.75" customHeight="1"/>
    <row r="2" spans="1:12" ht="18" customHeight="1">
      <c r="A2" s="58">
        <v>2025</v>
      </c>
      <c r="B2" s="59"/>
      <c r="C2" s="2" t="s">
        <v>0</v>
      </c>
      <c r="D2" s="3"/>
      <c r="E2" s="3" t="s">
        <v>104</v>
      </c>
    </row>
    <row r="3" spans="1:12" ht="18" customHeight="1">
      <c r="B3" s="60" t="s">
        <v>1</v>
      </c>
      <c r="C3" s="61"/>
      <c r="D3" s="61"/>
      <c r="E3" s="61"/>
      <c r="F3" s="62"/>
      <c r="H3" s="4"/>
      <c r="I3" s="5"/>
      <c r="J3" s="6"/>
    </row>
    <row r="4" spans="1:12" ht="18" customHeight="1">
      <c r="B4" s="63"/>
      <c r="C4" s="59"/>
      <c r="D4" s="64" t="s">
        <v>2</v>
      </c>
      <c r="E4" s="59"/>
      <c r="F4" s="7"/>
      <c r="G4" s="37" t="s">
        <v>3</v>
      </c>
      <c r="H4" s="8"/>
    </row>
    <row r="5" spans="1:12" ht="18" customHeight="1">
      <c r="B5" s="65" t="s">
        <v>4</v>
      </c>
      <c r="C5" s="66"/>
      <c r="D5" s="67" t="s">
        <v>45</v>
      </c>
      <c r="E5" s="66"/>
      <c r="F5" s="9" t="s">
        <v>5</v>
      </c>
      <c r="G5" s="10">
        <v>4</v>
      </c>
      <c r="J5" s="11"/>
    </row>
    <row r="6" spans="1:12" ht="1.5" customHeight="1">
      <c r="B6" s="12"/>
      <c r="J6" s="11"/>
    </row>
    <row r="7" spans="1:12" ht="1.5" customHeight="1">
      <c r="B7" s="22"/>
      <c r="C7" s="17"/>
      <c r="D7" s="17"/>
      <c r="E7" s="17"/>
      <c r="F7" s="23"/>
      <c r="G7" s="17"/>
      <c r="H7" s="17"/>
      <c r="I7" s="17"/>
      <c r="J7" s="17"/>
      <c r="K7" s="17"/>
      <c r="L7" s="17"/>
    </row>
    <row r="8" spans="1:12" ht="12" customHeight="1">
      <c r="A8" s="24"/>
      <c r="B8" s="48" t="s">
        <v>6</v>
      </c>
      <c r="C8" s="50" t="s">
        <v>37</v>
      </c>
      <c r="D8" s="45"/>
      <c r="E8" s="25" t="s">
        <v>8</v>
      </c>
      <c r="F8" s="14" t="s">
        <v>9</v>
      </c>
      <c r="G8" s="26" t="s">
        <v>10</v>
      </c>
      <c r="H8" s="14" t="s">
        <v>11</v>
      </c>
      <c r="I8" s="13" t="s">
        <v>78</v>
      </c>
      <c r="J8" s="13" t="s">
        <v>13</v>
      </c>
      <c r="K8" s="13" t="s">
        <v>14</v>
      </c>
      <c r="L8" s="15"/>
    </row>
    <row r="9" spans="1:12" ht="12" customHeight="1">
      <c r="B9" s="49"/>
      <c r="C9" s="51">
        <f>LEFT(C10,FIND("×",C10)-1)*RIGHT(C10,LEN(C10)-FIND("×",C10))+IF(C11&lt;&gt;"",LEFT(C11,FIND("×",C11)-1)*RIGHT(C11,LEN(C11)-FIND("×",C11)),0)</f>
        <v>6300</v>
      </c>
      <c r="D9" s="47"/>
      <c r="E9" s="16">
        <f>LEFT(E10,FIND("（10分）×",E10)-1)*RIGHT(E10,LEN(E10)-FIND("×",E10))+LEFT(E11,FIND("（時間）×",E11)-1)*RIGHT(E11,LEN(E11)-FIND("×",E11))</f>
        <v>0</v>
      </c>
      <c r="F9" s="16">
        <f>LEFT(F10,FIND("×",F10)-1)*RIGHT(F10,LEN(F10)-FIND("×",F10))+IF(F11&lt;&gt;"",LEFT(F11,FIND("×",F11)-1)*RIGHT(F11,LEN(F11)-FIND("×",F11)),0)</f>
        <v>0</v>
      </c>
      <c r="G9" s="16">
        <f>LEFT(G10,FIND("（受験生）×",G10)-1)*RIGHT(G10,LEN(G10)-FIND("×",G10))+LEFT(G11,FIND("（高校生）×",G11)-1)*RIGHT(G11,LEN(G11)-FIND("×",G11))</f>
        <v>0</v>
      </c>
      <c r="H9" s="16">
        <f>IF(H8&lt;&gt;"",LEFT(H10,FIND("×",H10)-1)*RIGHT(H10,LEN(H10)-FIND("×",H10))+IF(H11&lt;&gt;"",LEFT(H11,FIND("×",H11)-1)*RIGHT(H11,LEN(H11)-FIND("×",H11)),0),"")</f>
        <v>32900</v>
      </c>
      <c r="I9" s="16">
        <f>IF(I8&lt;&gt;"",LEFT(I10,FIND("×",I10)-1)*RIGHT(I10,LEN(I10)-FIND("×",I10))+IF(I11&lt;&gt;"",LEFT(I11,FIND("×",I11)-1)*RIGHT(I11,LEN(I11)-FIND("×",I11)),0),"")</f>
        <v>1000</v>
      </c>
      <c r="J9" s="16">
        <f>IF(J8&lt;&gt;"",LEFT(J10,FIND("×",J10)-1)*RIGHT(J10,LEN(J10)-FIND("×",J10))+IF(J11&lt;&gt;"",LEFT(J11,FIND("×",J11)-1)*RIGHT(J11,LEN(J11)-FIND("×",J11)),0),"")</f>
        <v>0</v>
      </c>
      <c r="K9" s="16">
        <f>IF(K8&lt;&gt;"",LEFT(K10,FIND("×",K10)-1)*RIGHT(K10,LEN(K10)-FIND("×",K10))+IF(K11&lt;&gt;"",LEFT(K11,FIND("×",K11)-1)*RIGHT(K11,LEN(K11)-FIND("×",K11)),0),"")</f>
        <v>0</v>
      </c>
      <c r="L9" s="34"/>
    </row>
    <row r="10" spans="1:12" ht="12" customHeight="1">
      <c r="B10" s="49"/>
      <c r="C10" s="52" t="s">
        <v>122</v>
      </c>
      <c r="D10" s="53"/>
      <c r="E10" s="19" t="s">
        <v>46</v>
      </c>
      <c r="F10" s="27" t="s">
        <v>47</v>
      </c>
      <c r="G10" s="28" t="s">
        <v>66</v>
      </c>
      <c r="H10" s="27" t="s">
        <v>121</v>
      </c>
      <c r="I10" s="29" t="s">
        <v>96</v>
      </c>
      <c r="J10" s="27" t="s">
        <v>68</v>
      </c>
      <c r="K10" s="29" t="s">
        <v>39</v>
      </c>
      <c r="L10" s="30" t="s">
        <v>17</v>
      </c>
    </row>
    <row r="11" spans="1:12" ht="12" customHeight="1">
      <c r="B11" s="43"/>
      <c r="C11" s="52"/>
      <c r="D11" s="53"/>
      <c r="E11" s="20" t="s">
        <v>48</v>
      </c>
      <c r="F11" s="31"/>
      <c r="G11" s="21" t="s">
        <v>67</v>
      </c>
      <c r="H11" s="27" t="s">
        <v>18</v>
      </c>
      <c r="I11" s="29" t="s">
        <v>33</v>
      </c>
      <c r="J11" s="31"/>
      <c r="K11" s="29"/>
      <c r="L11" s="32">
        <f>SUM(C9:L9)</f>
        <v>40200</v>
      </c>
    </row>
    <row r="12" spans="1:12" ht="1.5" customHeight="1">
      <c r="B12" s="33"/>
      <c r="C12" s="17"/>
      <c r="D12" s="17"/>
      <c r="E12" s="17"/>
      <c r="F12" s="17"/>
      <c r="G12" s="17"/>
      <c r="H12" s="17"/>
      <c r="I12" s="17"/>
      <c r="J12" s="17"/>
      <c r="K12" s="17"/>
      <c r="L12" s="17"/>
    </row>
    <row r="13" spans="1:12" ht="12" customHeight="1">
      <c r="B13" s="56" t="s">
        <v>19</v>
      </c>
      <c r="C13" s="44" t="s">
        <v>20</v>
      </c>
      <c r="D13" s="45"/>
      <c r="E13" s="13" t="s">
        <v>21</v>
      </c>
      <c r="F13" s="13" t="s">
        <v>22</v>
      </c>
      <c r="G13" s="13"/>
      <c r="H13" s="14" t="s">
        <v>23</v>
      </c>
      <c r="I13" s="13" t="s">
        <v>24</v>
      </c>
      <c r="J13" s="14" t="s">
        <v>25</v>
      </c>
      <c r="K13" s="13" t="s">
        <v>26</v>
      </c>
      <c r="L13" s="15" t="s">
        <v>27</v>
      </c>
    </row>
    <row r="14" spans="1:12" ht="12" customHeight="1">
      <c r="B14" s="49"/>
      <c r="C14" s="57">
        <v>0</v>
      </c>
      <c r="D14" s="47"/>
      <c r="E14" s="34">
        <v>0</v>
      </c>
      <c r="F14" s="35">
        <v>0</v>
      </c>
      <c r="G14" s="34"/>
      <c r="H14" s="35">
        <f>SUM(C14:G14)</f>
        <v>0</v>
      </c>
      <c r="I14" s="34">
        <f>L11-K9-H14</f>
        <v>40200</v>
      </c>
      <c r="J14" s="35">
        <v>0</v>
      </c>
      <c r="K14" s="34">
        <v>0</v>
      </c>
      <c r="L14" s="32">
        <f>SUM(J14:K14)</f>
        <v>0</v>
      </c>
    </row>
    <row r="15" spans="1:12" ht="12" customHeight="1">
      <c r="B15" s="49"/>
      <c r="C15" s="44"/>
      <c r="D15" s="45"/>
      <c r="E15" s="13"/>
      <c r="F15" s="14"/>
      <c r="G15" s="13"/>
      <c r="H15" s="14"/>
      <c r="I15" s="13"/>
      <c r="J15" s="14"/>
      <c r="K15" s="13"/>
      <c r="L15" s="15" t="s">
        <v>28</v>
      </c>
    </row>
    <row r="16" spans="1:12" ht="12" customHeight="1">
      <c r="B16" s="43"/>
      <c r="C16" s="51"/>
      <c r="D16" s="47"/>
      <c r="E16" s="34"/>
      <c r="F16" s="35"/>
      <c r="G16" s="34"/>
      <c r="H16" s="35"/>
      <c r="I16" s="34"/>
      <c r="J16" s="35"/>
      <c r="K16" s="34"/>
      <c r="L16" s="32">
        <f>H14+L14</f>
        <v>0</v>
      </c>
    </row>
    <row r="17" spans="2:12" ht="1.5" customHeight="1">
      <c r="C17" s="36"/>
      <c r="D17" s="36"/>
      <c r="E17" s="36"/>
      <c r="F17" s="36"/>
      <c r="G17" s="36"/>
      <c r="H17" s="36"/>
      <c r="I17" s="36"/>
      <c r="J17" s="36"/>
      <c r="K17" s="36"/>
      <c r="L17" s="36"/>
    </row>
    <row r="18" spans="2:12" ht="12" customHeight="1">
      <c r="B18" s="42" t="s">
        <v>29</v>
      </c>
      <c r="C18" s="44" t="s">
        <v>17</v>
      </c>
      <c r="D18" s="45"/>
      <c r="E18" s="13" t="s">
        <v>28</v>
      </c>
      <c r="F18" s="14"/>
      <c r="G18" s="13"/>
      <c r="H18" s="14"/>
      <c r="I18" s="13"/>
      <c r="J18" s="14"/>
      <c r="K18" s="13" t="s">
        <v>30</v>
      </c>
      <c r="L18" s="15" t="s">
        <v>31</v>
      </c>
    </row>
    <row r="19" spans="2:12" ht="12" customHeight="1">
      <c r="B19" s="43"/>
      <c r="C19" s="46">
        <f>L11</f>
        <v>40200</v>
      </c>
      <c r="D19" s="47"/>
      <c r="E19" s="34">
        <f>L16</f>
        <v>0</v>
      </c>
      <c r="F19" s="35"/>
      <c r="G19" s="34"/>
      <c r="H19" s="35"/>
      <c r="I19" s="34"/>
      <c r="J19" s="35"/>
      <c r="K19" s="34">
        <f>L19-J19</f>
        <v>40200</v>
      </c>
      <c r="L19" s="32">
        <f>C19-E19</f>
        <v>40200</v>
      </c>
    </row>
    <row r="20" spans="2:12" ht="18.75" customHeight="1"/>
    <row r="21" spans="2:12" ht="18.75" customHeight="1"/>
    <row r="22" spans="2:12" ht="18.75" customHeight="1"/>
    <row r="23" spans="2:12" ht="18.75" customHeight="1"/>
    <row r="24" spans="2:12" ht="18.75" customHeight="1"/>
    <row r="25" spans="2:12" ht="18.75" customHeight="1"/>
    <row r="26" spans="2:12" ht="18.75" customHeight="1"/>
    <row r="27" spans="2:12" ht="18.75" customHeight="1"/>
    <row r="28" spans="2:12" ht="18.75" customHeight="1"/>
    <row r="29" spans="2:12" ht="18.75" customHeight="1"/>
    <row r="30" spans="2:12" ht="18.75" customHeight="1"/>
    <row r="31" spans="2:12" ht="18.75" customHeight="1"/>
    <row r="32" spans="2:1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</sheetData>
  <mergeCells count="19">
    <mergeCell ref="A2:B2"/>
    <mergeCell ref="B8:B11"/>
    <mergeCell ref="B13:B16"/>
    <mergeCell ref="C8:D8"/>
    <mergeCell ref="C11:D11"/>
    <mergeCell ref="C13:D13"/>
    <mergeCell ref="C14:D14"/>
    <mergeCell ref="B18:B19"/>
    <mergeCell ref="B3:F3"/>
    <mergeCell ref="B4:C4"/>
    <mergeCell ref="D4:E4"/>
    <mergeCell ref="B5:C5"/>
    <mergeCell ref="D5:E5"/>
    <mergeCell ref="C15:D15"/>
    <mergeCell ref="C16:D16"/>
    <mergeCell ref="C18:D18"/>
    <mergeCell ref="C19:D19"/>
    <mergeCell ref="C9:D9"/>
    <mergeCell ref="C10:D10"/>
  </mergeCells>
  <phoneticPr fontId="16"/>
  <pageMargins left="0.7" right="0.7" top="0.75" bottom="0.75" header="0" footer="0"/>
  <pageSetup orientation="landscape" horizontalDpi="4294967293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28DC7-2EC4-49F5-B373-38EB7B069964}">
  <sheetPr>
    <pageSetUpPr fitToPage="1"/>
  </sheetPr>
  <dimension ref="A1:L974"/>
  <sheetViews>
    <sheetView workbookViewId="0">
      <selection activeCell="F12" sqref="F12"/>
    </sheetView>
  </sheetViews>
  <sheetFormatPr defaultColWidth="14.3984375" defaultRowHeight="15" customHeight="1"/>
  <cols>
    <col min="1" max="26" width="8.73046875" customWidth="1"/>
  </cols>
  <sheetData>
    <row r="1" spans="1:12" ht="18.75" customHeight="1"/>
    <row r="2" spans="1:12" ht="18" customHeight="1" thickBot="1">
      <c r="A2" s="58">
        <v>2025</v>
      </c>
      <c r="B2" s="59"/>
      <c r="C2" s="2" t="s">
        <v>0</v>
      </c>
      <c r="D2" s="3"/>
      <c r="E2" s="3" t="s">
        <v>112</v>
      </c>
    </row>
    <row r="3" spans="1:12" ht="18" customHeight="1">
      <c r="B3" s="60" t="s">
        <v>1</v>
      </c>
      <c r="C3" s="61"/>
      <c r="D3" s="61"/>
      <c r="E3" s="61"/>
      <c r="F3" s="62"/>
      <c r="H3" s="4"/>
      <c r="I3" s="5"/>
      <c r="J3" s="6"/>
    </row>
    <row r="4" spans="1:12" ht="18" customHeight="1">
      <c r="B4" s="63"/>
      <c r="C4" s="59"/>
      <c r="D4" s="64" t="s">
        <v>2</v>
      </c>
      <c r="E4" s="59"/>
      <c r="F4" s="7"/>
      <c r="G4" s="37" t="s">
        <v>3</v>
      </c>
      <c r="H4" s="8"/>
    </row>
    <row r="5" spans="1:12" ht="18" customHeight="1" thickBot="1">
      <c r="B5" s="65" t="s">
        <v>4</v>
      </c>
      <c r="C5" s="66"/>
      <c r="D5" s="67" t="s">
        <v>82</v>
      </c>
      <c r="E5" s="66"/>
      <c r="F5" s="9" t="s">
        <v>5</v>
      </c>
      <c r="G5" s="10">
        <v>12</v>
      </c>
      <c r="J5" s="11"/>
    </row>
    <row r="6" spans="1:12" ht="1.5" customHeight="1">
      <c r="B6" s="12"/>
      <c r="J6" s="11"/>
    </row>
    <row r="7" spans="1:12" ht="1.5" customHeight="1">
      <c r="B7" s="22"/>
      <c r="C7" s="17"/>
      <c r="D7" s="17"/>
      <c r="E7" s="17"/>
      <c r="F7" s="23"/>
      <c r="G7" s="17"/>
      <c r="H7" s="17"/>
      <c r="I7" s="17"/>
      <c r="J7" s="17"/>
      <c r="K7" s="17"/>
      <c r="L7" s="17"/>
    </row>
    <row r="8" spans="1:12" ht="12" customHeight="1">
      <c r="A8" s="24"/>
      <c r="B8" s="48" t="s">
        <v>6</v>
      </c>
      <c r="C8" s="50" t="s">
        <v>7</v>
      </c>
      <c r="D8" s="45"/>
      <c r="E8" s="25" t="s">
        <v>8</v>
      </c>
      <c r="F8" s="14" t="s">
        <v>69</v>
      </c>
      <c r="G8" s="26" t="s">
        <v>63</v>
      </c>
      <c r="H8" s="14" t="s">
        <v>11</v>
      </c>
      <c r="I8" s="13" t="s">
        <v>12</v>
      </c>
      <c r="J8" s="13" t="s">
        <v>13</v>
      </c>
      <c r="K8" s="13" t="s">
        <v>14</v>
      </c>
      <c r="L8" s="15"/>
    </row>
    <row r="9" spans="1:12" ht="12" customHeight="1">
      <c r="B9" s="49"/>
      <c r="C9" s="51">
        <f>LEFT(C10,FIND("（ｺﾏ）×",C10)-1)*RIGHT(C10,LEN(C10)-FIND("×",C10))+IF(C11&lt;&gt;"",LEFT(C11,FIND("×",C11)-1)*RIGHT(C11,LEN(C11)-FIND("×",C11)),0)</f>
        <v>79800</v>
      </c>
      <c r="D9" s="47"/>
      <c r="E9" s="16">
        <f>LEFT(E10,FIND("（10分）×",E10)-1)*RIGHT(E10,LEN(E10)-FIND("×",E10))+LEFT(E11,FIND("（時間）×",E11)-1)*RIGHT(E11,LEN(E11)-FIND("×",E11))</f>
        <v>0</v>
      </c>
      <c r="F9" s="16">
        <f>LEFT(F10,FIND("×",F10)-1)*RIGHT(F10,LEN(F10)-FIND("×",F10))+IF(F11&lt;&gt;"",LEFT(F11,FIND("×",F11)-1)*RIGHT(F11,LEN(F11)-FIND("×",F11)),0)</f>
        <v>1500</v>
      </c>
      <c r="G9" s="16">
        <f>LEFT(G10,FIND("（受験生）×",G10)-1)*RIGHT(G10,LEN(G10)-FIND("×",G10))+LEFT(G11,FIND("（高校生）×",G11)-1)*RIGHT(G11,LEN(G11)-FIND("×",G11))</f>
        <v>4000</v>
      </c>
      <c r="H9" s="16">
        <f>IF(H8&lt;&gt;"",LEFT(H10,FIND("×",H10)-1)*RIGHT(H10,LEN(H10)-FIND("×",H10))+IF(H11&lt;&gt;"",LEFT(H11,FIND("×",H11)-1)*RIGHT(H11,LEN(H11)-FIND("×",H11)),0),"")</f>
        <v>1200</v>
      </c>
      <c r="I9" s="16">
        <f>IF(I8&lt;&gt;"",LEFT(I10,FIND("×",I10)-1)*RIGHT(I10,LEN(I10)-FIND("×",I10))+IF(I11&lt;&gt;"",LEFT(I11,FIND("×",I11)-1)*RIGHT(I11,LEN(I11)-FIND("×",I11)),0),"")</f>
        <v>0</v>
      </c>
      <c r="J9" s="16">
        <f>IF(J8&lt;&gt;"",LEFT(J10,FIND("×",J10)-1)*RIGHT(J10,LEN(J10)-FIND("×",J10))+IF(J11&lt;&gt;"",LEFT(J11,FIND("×",J11)-1)*RIGHT(J11,LEN(J11)-FIND("×",J11)),0),"")</f>
        <v>0</v>
      </c>
      <c r="K9" s="16">
        <f>IF(K8&lt;&gt;"",LEFT(K10,FIND("×",K10)-1)*RIGHT(K10,LEN(K10)-FIND("×",K10))+IF(K11&lt;&gt;"",LEFT(K11,FIND("×",K11)-1)*RIGHT(K11,LEN(K11)-FIND("×",K11)),0),"")</f>
        <v>0</v>
      </c>
      <c r="L9" s="34"/>
    </row>
    <row r="10" spans="1:12" ht="12" customHeight="1">
      <c r="B10" s="49"/>
      <c r="C10" s="52" t="s">
        <v>97</v>
      </c>
      <c r="D10" s="53"/>
      <c r="E10" s="19" t="s">
        <v>52</v>
      </c>
      <c r="F10" s="27" t="s">
        <v>118</v>
      </c>
      <c r="G10" s="28" t="s">
        <v>85</v>
      </c>
      <c r="H10" s="27" t="s">
        <v>101</v>
      </c>
      <c r="I10" s="29" t="s">
        <v>16</v>
      </c>
      <c r="J10" s="27" t="s">
        <v>65</v>
      </c>
      <c r="K10" s="29" t="s">
        <v>39</v>
      </c>
      <c r="L10" s="30" t="s">
        <v>17</v>
      </c>
    </row>
    <row r="11" spans="1:12" ht="12" customHeight="1">
      <c r="B11" s="43"/>
      <c r="C11" s="54"/>
      <c r="D11" s="55"/>
      <c r="E11" s="20" t="s">
        <v>53</v>
      </c>
      <c r="F11" s="31"/>
      <c r="G11" s="21" t="s">
        <v>77</v>
      </c>
      <c r="H11" s="18"/>
      <c r="I11" s="21" t="s">
        <v>33</v>
      </c>
      <c r="J11" s="31"/>
      <c r="K11" s="21"/>
      <c r="L11" s="32">
        <f>SUM(C9:L9)</f>
        <v>86500</v>
      </c>
    </row>
    <row r="12" spans="1:12" ht="1.5" customHeight="1">
      <c r="B12" s="33"/>
      <c r="C12" s="17"/>
      <c r="D12" s="17"/>
      <c r="E12" s="17"/>
      <c r="F12" s="17"/>
      <c r="G12" s="17"/>
      <c r="H12" s="17"/>
      <c r="I12" s="17"/>
      <c r="J12" s="17"/>
      <c r="K12" s="17"/>
      <c r="L12" s="17"/>
    </row>
    <row r="13" spans="1:12" ht="12" customHeight="1">
      <c r="B13" s="56" t="s">
        <v>19</v>
      </c>
      <c r="C13" s="44" t="s">
        <v>20</v>
      </c>
      <c r="D13" s="45"/>
      <c r="E13" s="13" t="s">
        <v>21</v>
      </c>
      <c r="F13" s="13" t="s">
        <v>22</v>
      </c>
      <c r="G13" s="13"/>
      <c r="H13" s="14" t="s">
        <v>23</v>
      </c>
      <c r="I13" s="13" t="s">
        <v>24</v>
      </c>
      <c r="J13" s="14" t="s">
        <v>25</v>
      </c>
      <c r="K13" s="13" t="s">
        <v>26</v>
      </c>
      <c r="L13" s="15" t="s">
        <v>27</v>
      </c>
    </row>
    <row r="14" spans="1:12" ht="12" customHeight="1">
      <c r="B14" s="49"/>
      <c r="C14" s="57">
        <v>0</v>
      </c>
      <c r="D14" s="47"/>
      <c r="E14" s="34">
        <v>0</v>
      </c>
      <c r="F14" s="35">
        <v>0</v>
      </c>
      <c r="G14" s="34"/>
      <c r="H14" s="35">
        <f>SUM(C14:G14)</f>
        <v>0</v>
      </c>
      <c r="I14" s="34">
        <f>L11-K9-H14</f>
        <v>86500</v>
      </c>
      <c r="J14" s="35">
        <v>0</v>
      </c>
      <c r="K14" s="34">
        <v>0</v>
      </c>
      <c r="L14" s="32">
        <f>SUM(J14:K14)</f>
        <v>0</v>
      </c>
    </row>
    <row r="15" spans="1:12" ht="12" customHeight="1">
      <c r="B15" s="49"/>
      <c r="C15" s="44"/>
      <c r="D15" s="45"/>
      <c r="E15" s="13"/>
      <c r="F15" s="14"/>
      <c r="G15" s="13"/>
      <c r="H15" s="14"/>
      <c r="I15" s="13"/>
      <c r="J15" s="14"/>
      <c r="K15" s="13"/>
      <c r="L15" s="15" t="s">
        <v>28</v>
      </c>
    </row>
    <row r="16" spans="1:12" ht="12" customHeight="1">
      <c r="B16" s="43"/>
      <c r="C16" s="51"/>
      <c r="D16" s="47"/>
      <c r="E16" s="34"/>
      <c r="F16" s="35"/>
      <c r="G16" s="34"/>
      <c r="H16" s="35"/>
      <c r="I16" s="34"/>
      <c r="J16" s="35"/>
      <c r="K16" s="34"/>
      <c r="L16" s="32">
        <f>H14+L14</f>
        <v>0</v>
      </c>
    </row>
    <row r="17" spans="2:12" ht="1.5" customHeight="1">
      <c r="C17" s="36"/>
      <c r="D17" s="36"/>
      <c r="E17" s="36"/>
      <c r="F17" s="36"/>
      <c r="G17" s="36"/>
      <c r="H17" s="36"/>
      <c r="I17" s="36"/>
      <c r="J17" s="36"/>
      <c r="K17" s="36"/>
      <c r="L17" s="36"/>
    </row>
    <row r="18" spans="2:12" ht="12" customHeight="1">
      <c r="B18" s="42" t="s">
        <v>29</v>
      </c>
      <c r="C18" s="44" t="s">
        <v>17</v>
      </c>
      <c r="D18" s="45"/>
      <c r="E18" s="13" t="s">
        <v>28</v>
      </c>
      <c r="F18" s="14"/>
      <c r="G18" s="13"/>
      <c r="H18" s="14"/>
      <c r="I18" s="13"/>
      <c r="J18" s="14"/>
      <c r="K18" s="13" t="s">
        <v>30</v>
      </c>
      <c r="L18" s="15" t="s">
        <v>31</v>
      </c>
    </row>
    <row r="19" spans="2:12" ht="12" customHeight="1">
      <c r="B19" s="43"/>
      <c r="C19" s="46">
        <f>L11</f>
        <v>86500</v>
      </c>
      <c r="D19" s="47"/>
      <c r="E19" s="34">
        <f>L16</f>
        <v>0</v>
      </c>
      <c r="F19" s="35"/>
      <c r="G19" s="34"/>
      <c r="H19" s="35"/>
      <c r="I19" s="34"/>
      <c r="J19" s="35"/>
      <c r="K19" s="34">
        <f>L19-J19</f>
        <v>86500</v>
      </c>
      <c r="L19" s="32">
        <f>C19-E19</f>
        <v>86500</v>
      </c>
    </row>
    <row r="20" spans="2:12" ht="18.75" customHeight="1"/>
    <row r="21" spans="2:12" ht="18.75" customHeight="1"/>
    <row r="22" spans="2:12" ht="18.75" customHeight="1"/>
    <row r="23" spans="2:12" ht="18.75" customHeight="1"/>
    <row r="24" spans="2:12" ht="18.75" customHeight="1"/>
    <row r="25" spans="2:12" ht="18.75" customHeight="1"/>
    <row r="26" spans="2:12" ht="18.75" customHeight="1"/>
    <row r="27" spans="2:12" ht="18.75" customHeight="1"/>
    <row r="28" spans="2:12" ht="18.75" customHeight="1"/>
    <row r="29" spans="2:12" ht="18.75" customHeight="1"/>
    <row r="30" spans="2:12" ht="18.75" customHeight="1"/>
    <row r="31" spans="2:12" ht="18.75" customHeight="1"/>
    <row r="32" spans="2:1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</sheetData>
  <mergeCells count="19">
    <mergeCell ref="B18:B19"/>
    <mergeCell ref="C18:D18"/>
    <mergeCell ref="C19:D19"/>
    <mergeCell ref="B8:B11"/>
    <mergeCell ref="C8:D8"/>
    <mergeCell ref="C9:D9"/>
    <mergeCell ref="C10:D10"/>
    <mergeCell ref="C11:D11"/>
    <mergeCell ref="B13:B16"/>
    <mergeCell ref="C13:D13"/>
    <mergeCell ref="C14:D14"/>
    <mergeCell ref="C15:D15"/>
    <mergeCell ref="C16:D16"/>
    <mergeCell ref="A2:B2"/>
    <mergeCell ref="B3:F3"/>
    <mergeCell ref="B4:C4"/>
    <mergeCell ref="D4:E4"/>
    <mergeCell ref="B5:C5"/>
    <mergeCell ref="D5:E5"/>
  </mergeCells>
  <phoneticPr fontId="16"/>
  <pageMargins left="0.7" right="0.7" top="0.75" bottom="0.75" header="0.3" footer="0.3"/>
  <pageSetup scale="86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128A3-1D84-4CF4-8358-BE6C51DB8C92}">
  <dimension ref="A1:L974"/>
  <sheetViews>
    <sheetView workbookViewId="0">
      <selection activeCell="H27" sqref="H27"/>
    </sheetView>
  </sheetViews>
  <sheetFormatPr defaultColWidth="14.3984375" defaultRowHeight="15" customHeight="1"/>
  <cols>
    <col min="1" max="26" width="8.73046875" customWidth="1"/>
  </cols>
  <sheetData>
    <row r="1" spans="1:12" ht="18.75" customHeight="1"/>
    <row r="2" spans="1:12" ht="18" customHeight="1" thickBot="1">
      <c r="A2" s="58">
        <v>2025</v>
      </c>
      <c r="B2" s="59"/>
      <c r="C2" s="2" t="s">
        <v>0</v>
      </c>
      <c r="D2" s="3"/>
      <c r="E2" s="3" t="s">
        <v>112</v>
      </c>
    </row>
    <row r="3" spans="1:12" ht="18" customHeight="1">
      <c r="B3" s="60" t="s">
        <v>1</v>
      </c>
      <c r="C3" s="61"/>
      <c r="D3" s="61"/>
      <c r="E3" s="61"/>
      <c r="F3" s="62"/>
      <c r="H3" s="4"/>
      <c r="I3" s="5"/>
      <c r="J3" s="6"/>
    </row>
    <row r="4" spans="1:12" ht="18" customHeight="1">
      <c r="B4" s="63"/>
      <c r="C4" s="59"/>
      <c r="D4" s="64" t="s">
        <v>2</v>
      </c>
      <c r="E4" s="59"/>
      <c r="F4" s="7"/>
      <c r="G4" s="37" t="s">
        <v>3</v>
      </c>
      <c r="H4" s="8"/>
    </row>
    <row r="5" spans="1:12" ht="18" customHeight="1" thickBot="1">
      <c r="B5" s="65" t="s">
        <v>4</v>
      </c>
      <c r="C5" s="66"/>
      <c r="D5" s="67" t="s">
        <v>99</v>
      </c>
      <c r="E5" s="66"/>
      <c r="F5" s="9" t="s">
        <v>5</v>
      </c>
      <c r="G5" s="10">
        <v>2</v>
      </c>
      <c r="J5" s="11"/>
    </row>
    <row r="6" spans="1:12" ht="1.5" customHeight="1">
      <c r="B6" s="12"/>
      <c r="J6" s="11"/>
    </row>
    <row r="7" spans="1:12" ht="1.5" customHeight="1">
      <c r="B7" s="22"/>
      <c r="C7" s="17"/>
      <c r="D7" s="17"/>
      <c r="E7" s="17"/>
      <c r="F7" s="23"/>
      <c r="G7" s="17"/>
      <c r="H7" s="17"/>
      <c r="I7" s="17"/>
      <c r="J7" s="17"/>
      <c r="K7" s="17"/>
      <c r="L7" s="17"/>
    </row>
    <row r="8" spans="1:12" ht="12" customHeight="1">
      <c r="A8" s="24"/>
      <c r="B8" s="48" t="s">
        <v>6</v>
      </c>
      <c r="C8" s="50" t="s">
        <v>7</v>
      </c>
      <c r="D8" s="45"/>
      <c r="E8" s="25" t="s">
        <v>8</v>
      </c>
      <c r="F8" s="14" t="s">
        <v>69</v>
      </c>
      <c r="G8" s="26" t="s">
        <v>63</v>
      </c>
      <c r="H8" s="14" t="s">
        <v>11</v>
      </c>
      <c r="I8" s="13" t="s">
        <v>12</v>
      </c>
      <c r="J8" s="13" t="s">
        <v>13</v>
      </c>
      <c r="K8" s="13" t="s">
        <v>14</v>
      </c>
      <c r="L8" s="15"/>
    </row>
    <row r="9" spans="1:12" ht="12" customHeight="1">
      <c r="B9" s="49"/>
      <c r="C9" s="51">
        <f>LEFT(C10,FIND("（ｺﾏ）×",C10)-1)*RIGHT(C10,LEN(C10)-FIND("×",C10))+IF(C11&lt;&gt;"",LEFT(C11,FIND("×",C11)-1)*RIGHT(C11,LEN(C11)-FIND("×",C11)),0)</f>
        <v>14400</v>
      </c>
      <c r="D9" s="47"/>
      <c r="E9" s="16">
        <f>LEFT(E10,FIND("（10分）×",E10)-1)*RIGHT(E10,LEN(E10)-FIND("×",E10))+LEFT(E11,FIND("（時間）×",E11)-1)*RIGHT(E11,LEN(E11)-FIND("×",E11))</f>
        <v>0</v>
      </c>
      <c r="F9" s="16">
        <f>LEFT(F10,FIND("×",F10)-1)*RIGHT(F10,LEN(F10)-FIND("×",F10))+IF(F11&lt;&gt;"",LEFT(F11,FIND("×",F11)-1)*RIGHT(F11,LEN(F11)-FIND("×",F11)),0)</f>
        <v>0</v>
      </c>
      <c r="G9" s="16">
        <f>LEFT(G10,FIND("（受験生）×",G10)-1)*RIGHT(G10,LEN(G10)-FIND("×",G10))+LEFT(G11,FIND("（高校生）×",G11)-1)*RIGHT(G11,LEN(G11)-FIND("×",G11))</f>
        <v>0</v>
      </c>
      <c r="H9" s="16">
        <f>IF(H8&lt;&gt;"",LEFT(H10,FIND("×",H10)-1)*RIGHT(H10,LEN(H10)-FIND("×",H10))+IF(H11&lt;&gt;"",LEFT(H11,FIND("×",H11)-1)*RIGHT(H11,LEN(H11)-FIND("×",H11)),0),"")</f>
        <v>0</v>
      </c>
      <c r="I9" s="16">
        <f>IF(I8&lt;&gt;"",LEFT(I10,FIND("×",I10)-1)*RIGHT(I10,LEN(I10)-FIND("×",I10))+IF(I11&lt;&gt;"",LEFT(I11,FIND("×",I11)-1)*RIGHT(I11,LEN(I11)-FIND("×",I11)),0),"")</f>
        <v>0</v>
      </c>
      <c r="J9" s="16">
        <f>IF(J8&lt;&gt;"",LEFT(J10,FIND("×",J10)-1)*RIGHT(J10,LEN(J10)-FIND("×",J10))+IF(J11&lt;&gt;"",LEFT(J11,FIND("×",J11)-1)*RIGHT(J11,LEN(J11)-FIND("×",J11)),0),"")</f>
        <v>0</v>
      </c>
      <c r="K9" s="16">
        <f>IF(K8&lt;&gt;"",LEFT(K10,FIND("×",K10)-1)*RIGHT(K10,LEN(K10)-FIND("×",K10))+IF(K11&lt;&gt;"",LEFT(K11,FIND("×",K11)-1)*RIGHT(K11,LEN(K11)-FIND("×",K11)),0),"")</f>
        <v>0</v>
      </c>
      <c r="L9" s="34"/>
    </row>
    <row r="10" spans="1:12" ht="12" customHeight="1">
      <c r="B10" s="49"/>
      <c r="C10" s="52" t="s">
        <v>119</v>
      </c>
      <c r="D10" s="53"/>
      <c r="E10" s="19" t="s">
        <v>52</v>
      </c>
      <c r="F10" s="27" t="s">
        <v>83</v>
      </c>
      <c r="G10" s="28" t="s">
        <v>84</v>
      </c>
      <c r="H10" s="27" t="s">
        <v>117</v>
      </c>
      <c r="I10" s="29" t="s">
        <v>16</v>
      </c>
      <c r="J10" s="27" t="s">
        <v>65</v>
      </c>
      <c r="K10" s="29" t="s">
        <v>39</v>
      </c>
      <c r="L10" s="30" t="s">
        <v>17</v>
      </c>
    </row>
    <row r="11" spans="1:12" ht="12" customHeight="1">
      <c r="B11" s="43"/>
      <c r="C11" s="54"/>
      <c r="D11" s="55"/>
      <c r="E11" s="20" t="s">
        <v>53</v>
      </c>
      <c r="F11" s="31"/>
      <c r="G11" s="21" t="s">
        <v>87</v>
      </c>
      <c r="H11" s="18"/>
      <c r="I11" s="21" t="s">
        <v>33</v>
      </c>
      <c r="J11" s="31"/>
      <c r="K11" s="21"/>
      <c r="L11" s="32">
        <f>SUM(C9:L9)</f>
        <v>14400</v>
      </c>
    </row>
    <row r="12" spans="1:12" ht="1.5" customHeight="1">
      <c r="B12" s="33"/>
      <c r="C12" s="17"/>
      <c r="D12" s="17"/>
      <c r="E12" s="17"/>
      <c r="F12" s="17"/>
      <c r="G12" s="17"/>
      <c r="H12" s="17"/>
      <c r="I12" s="17"/>
      <c r="J12" s="17"/>
      <c r="K12" s="17"/>
      <c r="L12" s="17"/>
    </row>
    <row r="13" spans="1:12" ht="12" customHeight="1">
      <c r="B13" s="56" t="s">
        <v>19</v>
      </c>
      <c r="C13" s="44" t="s">
        <v>20</v>
      </c>
      <c r="D13" s="45"/>
      <c r="E13" s="13" t="s">
        <v>21</v>
      </c>
      <c r="F13" s="13" t="s">
        <v>22</v>
      </c>
      <c r="G13" s="13"/>
      <c r="H13" s="14" t="s">
        <v>23</v>
      </c>
      <c r="I13" s="13" t="s">
        <v>24</v>
      </c>
      <c r="J13" s="14" t="s">
        <v>25</v>
      </c>
      <c r="K13" s="13" t="s">
        <v>26</v>
      </c>
      <c r="L13" s="15" t="s">
        <v>27</v>
      </c>
    </row>
    <row r="14" spans="1:12" ht="12" customHeight="1">
      <c r="B14" s="49"/>
      <c r="C14" s="57">
        <v>0</v>
      </c>
      <c r="D14" s="47"/>
      <c r="E14" s="34">
        <v>0</v>
      </c>
      <c r="F14" s="35">
        <v>0</v>
      </c>
      <c r="G14" s="34"/>
      <c r="H14" s="35">
        <f>SUM(C14:G14)</f>
        <v>0</v>
      </c>
      <c r="I14" s="34">
        <f>L11-K9-H14</f>
        <v>14400</v>
      </c>
      <c r="J14" s="35">
        <v>0</v>
      </c>
      <c r="K14" s="34">
        <v>0</v>
      </c>
      <c r="L14" s="32">
        <f>SUM(J14:K14)</f>
        <v>0</v>
      </c>
    </row>
    <row r="15" spans="1:12" ht="12" customHeight="1">
      <c r="B15" s="49"/>
      <c r="C15" s="44"/>
      <c r="D15" s="45"/>
      <c r="E15" s="13"/>
      <c r="F15" s="14"/>
      <c r="G15" s="13"/>
      <c r="H15" s="14"/>
      <c r="I15" s="13"/>
      <c r="J15" s="14"/>
      <c r="K15" s="13"/>
      <c r="L15" s="15" t="s">
        <v>28</v>
      </c>
    </row>
    <row r="16" spans="1:12" ht="12" customHeight="1">
      <c r="B16" s="43"/>
      <c r="C16" s="51"/>
      <c r="D16" s="47"/>
      <c r="E16" s="34"/>
      <c r="F16" s="35"/>
      <c r="G16" s="34"/>
      <c r="H16" s="35"/>
      <c r="I16" s="34"/>
      <c r="J16" s="35"/>
      <c r="K16" s="34"/>
      <c r="L16" s="32">
        <f>H14+L14</f>
        <v>0</v>
      </c>
    </row>
    <row r="17" spans="2:12" ht="1.5" customHeight="1">
      <c r="C17" s="36"/>
      <c r="D17" s="36"/>
      <c r="E17" s="36"/>
      <c r="F17" s="36"/>
      <c r="G17" s="36"/>
      <c r="H17" s="36"/>
      <c r="I17" s="36"/>
      <c r="J17" s="36"/>
      <c r="K17" s="36"/>
      <c r="L17" s="36"/>
    </row>
    <row r="18" spans="2:12" ht="12" customHeight="1">
      <c r="B18" s="42" t="s">
        <v>29</v>
      </c>
      <c r="C18" s="44" t="s">
        <v>17</v>
      </c>
      <c r="D18" s="45"/>
      <c r="E18" s="13" t="s">
        <v>28</v>
      </c>
      <c r="F18" s="14"/>
      <c r="G18" s="13"/>
      <c r="H18" s="14"/>
      <c r="I18" s="13"/>
      <c r="J18" s="14"/>
      <c r="K18" s="13" t="s">
        <v>30</v>
      </c>
      <c r="L18" s="15" t="s">
        <v>31</v>
      </c>
    </row>
    <row r="19" spans="2:12" ht="12" customHeight="1">
      <c r="B19" s="43"/>
      <c r="C19" s="46">
        <f>L11</f>
        <v>14400</v>
      </c>
      <c r="D19" s="47"/>
      <c r="E19" s="34">
        <f>L16</f>
        <v>0</v>
      </c>
      <c r="F19" s="35"/>
      <c r="G19" s="34"/>
      <c r="H19" s="35"/>
      <c r="I19" s="34"/>
      <c r="J19" s="35"/>
      <c r="K19" s="34">
        <f>L19-J19</f>
        <v>14400</v>
      </c>
      <c r="L19" s="32">
        <f>C19-E19</f>
        <v>14400</v>
      </c>
    </row>
    <row r="20" spans="2:12" ht="18.75" customHeight="1"/>
    <row r="21" spans="2:12" ht="18.75" customHeight="1"/>
    <row r="22" spans="2:12" ht="18.75" customHeight="1"/>
    <row r="23" spans="2:12" ht="18.75" customHeight="1"/>
    <row r="24" spans="2:12" ht="18.75" customHeight="1"/>
    <row r="25" spans="2:12" ht="18.75" customHeight="1"/>
    <row r="26" spans="2:12" ht="18.75" customHeight="1"/>
    <row r="27" spans="2:12" ht="18.75" customHeight="1"/>
    <row r="28" spans="2:12" ht="18.75" customHeight="1"/>
    <row r="29" spans="2:12" ht="18.75" customHeight="1"/>
    <row r="30" spans="2:12" ht="18.75" customHeight="1"/>
    <row r="31" spans="2:12" ht="18.75" customHeight="1"/>
    <row r="32" spans="2:1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</sheetData>
  <mergeCells count="19">
    <mergeCell ref="B18:B19"/>
    <mergeCell ref="C18:D18"/>
    <mergeCell ref="C19:D19"/>
    <mergeCell ref="B8:B11"/>
    <mergeCell ref="C8:D8"/>
    <mergeCell ref="C9:D9"/>
    <mergeCell ref="C10:D10"/>
    <mergeCell ref="C11:D11"/>
    <mergeCell ref="B13:B16"/>
    <mergeCell ref="C13:D13"/>
    <mergeCell ref="C14:D14"/>
    <mergeCell ref="C15:D15"/>
    <mergeCell ref="C16:D16"/>
    <mergeCell ref="A2:B2"/>
    <mergeCell ref="B3:F3"/>
    <mergeCell ref="B4:C4"/>
    <mergeCell ref="D4:E4"/>
    <mergeCell ref="B5:C5"/>
    <mergeCell ref="D5:E5"/>
  </mergeCells>
  <phoneticPr fontId="16"/>
  <pageMargins left="0.7" right="0.7" top="0.75" bottom="0.75" header="0" footer="0"/>
  <pageSetup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D8C1F-14ED-4120-A16A-B8790077B440}">
  <dimension ref="A1:L974"/>
  <sheetViews>
    <sheetView workbookViewId="0">
      <selection activeCell="H11" sqref="H11"/>
    </sheetView>
  </sheetViews>
  <sheetFormatPr defaultColWidth="14.3984375" defaultRowHeight="15" customHeight="1"/>
  <cols>
    <col min="1" max="26" width="8.73046875" customWidth="1"/>
  </cols>
  <sheetData>
    <row r="1" spans="1:12" ht="18.75" customHeight="1"/>
    <row r="2" spans="1:12" ht="18" customHeight="1" thickBot="1">
      <c r="A2" s="58">
        <v>2025</v>
      </c>
      <c r="B2" s="59"/>
      <c r="C2" s="2" t="s">
        <v>0</v>
      </c>
      <c r="D2" s="3"/>
      <c r="E2" s="3" t="s">
        <v>112</v>
      </c>
    </row>
    <row r="3" spans="1:12" ht="18" customHeight="1">
      <c r="B3" s="60" t="s">
        <v>1</v>
      </c>
      <c r="C3" s="61"/>
      <c r="D3" s="61"/>
      <c r="E3" s="61"/>
      <c r="F3" s="62"/>
      <c r="H3" s="4"/>
      <c r="I3" s="5"/>
      <c r="J3" s="6"/>
    </row>
    <row r="4" spans="1:12" ht="18" customHeight="1">
      <c r="B4" s="63"/>
      <c r="C4" s="59"/>
      <c r="D4" s="64" t="s">
        <v>2</v>
      </c>
      <c r="E4" s="59"/>
      <c r="F4" s="7"/>
      <c r="G4" s="37" t="s">
        <v>3</v>
      </c>
      <c r="H4" s="8"/>
    </row>
    <row r="5" spans="1:12" ht="18" customHeight="1" thickBot="1">
      <c r="B5" s="65" t="s">
        <v>4</v>
      </c>
      <c r="C5" s="66"/>
      <c r="D5" s="67" t="s">
        <v>102</v>
      </c>
      <c r="E5" s="66"/>
      <c r="F5" s="9" t="s">
        <v>5</v>
      </c>
      <c r="G5" s="10">
        <v>3</v>
      </c>
      <c r="J5" s="11"/>
    </row>
    <row r="6" spans="1:12" ht="1.5" customHeight="1">
      <c r="B6" s="12"/>
      <c r="J6" s="11"/>
    </row>
    <row r="7" spans="1:12" ht="1.5" customHeight="1">
      <c r="B7" s="22"/>
      <c r="C7" s="17"/>
      <c r="D7" s="17"/>
      <c r="E7" s="17"/>
      <c r="F7" s="23"/>
      <c r="G7" s="17"/>
      <c r="H7" s="17"/>
      <c r="I7" s="17"/>
      <c r="J7" s="17"/>
      <c r="K7" s="17"/>
      <c r="L7" s="17"/>
    </row>
    <row r="8" spans="1:12" ht="12" customHeight="1">
      <c r="A8" s="24"/>
      <c r="B8" s="48" t="s">
        <v>6</v>
      </c>
      <c r="C8" s="50" t="s">
        <v>7</v>
      </c>
      <c r="D8" s="45"/>
      <c r="E8" s="25" t="s">
        <v>8</v>
      </c>
      <c r="F8" s="14" t="s">
        <v>69</v>
      </c>
      <c r="G8" s="26" t="s">
        <v>63</v>
      </c>
      <c r="H8" s="14" t="s">
        <v>11</v>
      </c>
      <c r="I8" s="13" t="s">
        <v>12</v>
      </c>
      <c r="J8" s="13" t="s">
        <v>13</v>
      </c>
      <c r="K8" s="13" t="s">
        <v>14</v>
      </c>
      <c r="L8" s="15"/>
    </row>
    <row r="9" spans="1:12" ht="12" customHeight="1">
      <c r="B9" s="49"/>
      <c r="C9" s="51">
        <f>LEFT(C10,FIND("（ｺﾏ）×",C10)-1)*RIGHT(C10,LEN(C10)-FIND("×",C10))+IF(C11&lt;&gt;"",LEFT(C11,FIND("×",C11)-1)*RIGHT(C11,LEN(C11)-FIND("×",C11)),0)</f>
        <v>5400</v>
      </c>
      <c r="D9" s="47"/>
      <c r="E9" s="16">
        <f>LEFT(E10,FIND("（10分）×",E10)-1)*RIGHT(E10,LEN(E10)-FIND("×",E10))+LEFT(E11,FIND("（時間）×",E11)-1)*RIGHT(E11,LEN(E11)-FIND("×",E11))</f>
        <v>0</v>
      </c>
      <c r="F9" s="16">
        <f>LEFT(F10,FIND("×",F10)-1)*RIGHT(F10,LEN(F10)-FIND("×",F10))+IF(F11&lt;&gt;"",LEFT(F11,FIND("×",F11)-1)*RIGHT(F11,LEN(F11)-FIND("×",F11)),0)</f>
        <v>0</v>
      </c>
      <c r="G9" s="16">
        <f>LEFT(G10,FIND("（受験生）×",G10)-1)*RIGHT(G10,LEN(G10)-FIND("×",G10))+LEFT(G11,FIND("（高校生）×",G11)-1)*RIGHT(G11,LEN(G11)-FIND("×",G11))</f>
        <v>0</v>
      </c>
      <c r="H9" s="16">
        <f>IF(H8&lt;&gt;"",LEFT(H10,FIND("×",H10)-1)*RIGHT(H10,LEN(H10)-FIND("×",H10))+IF(H11&lt;&gt;"",LEFT(H11,FIND("×",H11)-1)*RIGHT(H11,LEN(H11)-FIND("×",H11)),0),"")</f>
        <v>0</v>
      </c>
      <c r="I9" s="16">
        <f>IF(I8&lt;&gt;"",LEFT(I10,FIND("×",I10)-1)*RIGHT(I10,LEN(I10)-FIND("×",I10))+IF(I11&lt;&gt;"",LEFT(I11,FIND("×",I11)-1)*RIGHT(I11,LEN(I11)-FIND("×",I11)),0),"")</f>
        <v>0</v>
      </c>
      <c r="J9" s="16">
        <f>IF(J8&lt;&gt;"",LEFT(J10,FIND("×",J10)-1)*RIGHT(J10,LEN(J10)-FIND("×",J10))+IF(J11&lt;&gt;"",LEFT(J11,FIND("×",J11)-1)*RIGHT(J11,LEN(J11)-FIND("×",J11)),0),"")</f>
        <v>0</v>
      </c>
      <c r="K9" s="16">
        <f>IF(K8&lt;&gt;"",LEFT(K10,FIND("×",K10)-1)*RIGHT(K10,LEN(K10)-FIND("×",K10))+IF(K11&lt;&gt;"",LEFT(K11,FIND("×",K11)-1)*RIGHT(K11,LEN(K11)-FIND("×",K11)),0),"")</f>
        <v>0</v>
      </c>
      <c r="L9" s="34"/>
    </row>
    <row r="10" spans="1:12" ht="12" customHeight="1">
      <c r="B10" s="49"/>
      <c r="C10" s="52" t="s">
        <v>100</v>
      </c>
      <c r="D10" s="53"/>
      <c r="E10" s="19" t="s">
        <v>52</v>
      </c>
      <c r="F10" s="27" t="s">
        <v>83</v>
      </c>
      <c r="G10" s="28" t="s">
        <v>84</v>
      </c>
      <c r="H10" s="27" t="s">
        <v>117</v>
      </c>
      <c r="I10" s="29" t="s">
        <v>16</v>
      </c>
      <c r="J10" s="27" t="s">
        <v>65</v>
      </c>
      <c r="K10" s="29" t="s">
        <v>39</v>
      </c>
      <c r="L10" s="30" t="s">
        <v>17</v>
      </c>
    </row>
    <row r="11" spans="1:12" ht="12" customHeight="1">
      <c r="B11" s="43"/>
      <c r="C11" s="54"/>
      <c r="D11" s="55"/>
      <c r="E11" s="20" t="s">
        <v>53</v>
      </c>
      <c r="F11" s="31"/>
      <c r="G11" s="21" t="s">
        <v>87</v>
      </c>
      <c r="H11" s="18"/>
      <c r="I11" s="21" t="s">
        <v>33</v>
      </c>
      <c r="J11" s="31"/>
      <c r="K11" s="21"/>
      <c r="L11" s="32">
        <f>SUM(C9:L9)</f>
        <v>5400</v>
      </c>
    </row>
    <row r="12" spans="1:12" ht="1.5" customHeight="1">
      <c r="B12" s="33"/>
      <c r="C12" s="17"/>
      <c r="D12" s="17"/>
      <c r="E12" s="17"/>
      <c r="F12" s="17"/>
      <c r="G12" s="17"/>
      <c r="H12" s="17"/>
      <c r="I12" s="17"/>
      <c r="J12" s="17"/>
      <c r="K12" s="17"/>
      <c r="L12" s="17"/>
    </row>
    <row r="13" spans="1:12" ht="12" customHeight="1">
      <c r="B13" s="56" t="s">
        <v>19</v>
      </c>
      <c r="C13" s="44" t="s">
        <v>20</v>
      </c>
      <c r="D13" s="45"/>
      <c r="E13" s="13" t="s">
        <v>21</v>
      </c>
      <c r="F13" s="13" t="s">
        <v>22</v>
      </c>
      <c r="G13" s="13"/>
      <c r="H13" s="14" t="s">
        <v>23</v>
      </c>
      <c r="I13" s="13" t="s">
        <v>24</v>
      </c>
      <c r="J13" s="14" t="s">
        <v>25</v>
      </c>
      <c r="K13" s="13" t="s">
        <v>26</v>
      </c>
      <c r="L13" s="15" t="s">
        <v>27</v>
      </c>
    </row>
    <row r="14" spans="1:12" ht="12" customHeight="1">
      <c r="B14" s="49"/>
      <c r="C14" s="57">
        <v>0</v>
      </c>
      <c r="D14" s="47"/>
      <c r="E14" s="34">
        <v>0</v>
      </c>
      <c r="F14" s="35">
        <v>0</v>
      </c>
      <c r="G14" s="34"/>
      <c r="H14" s="35">
        <f>SUM(C14:G14)</f>
        <v>0</v>
      </c>
      <c r="I14" s="34">
        <f>L11-K9-H14</f>
        <v>5400</v>
      </c>
      <c r="J14" s="35">
        <v>0</v>
      </c>
      <c r="K14" s="34">
        <v>0</v>
      </c>
      <c r="L14" s="32">
        <f>SUM(J14:K14)</f>
        <v>0</v>
      </c>
    </row>
    <row r="15" spans="1:12" ht="12" customHeight="1">
      <c r="B15" s="49"/>
      <c r="C15" s="44"/>
      <c r="D15" s="45"/>
      <c r="E15" s="13"/>
      <c r="F15" s="14"/>
      <c r="G15" s="13"/>
      <c r="H15" s="14"/>
      <c r="I15" s="13"/>
      <c r="J15" s="14"/>
      <c r="K15" s="13"/>
      <c r="L15" s="15" t="s">
        <v>28</v>
      </c>
    </row>
    <row r="16" spans="1:12" ht="12" customHeight="1">
      <c r="B16" s="43"/>
      <c r="C16" s="51"/>
      <c r="D16" s="47"/>
      <c r="E16" s="34"/>
      <c r="F16" s="35"/>
      <c r="G16" s="34"/>
      <c r="H16" s="35"/>
      <c r="I16" s="34"/>
      <c r="J16" s="35"/>
      <c r="K16" s="34"/>
      <c r="L16" s="32">
        <f>H14+L14</f>
        <v>0</v>
      </c>
    </row>
    <row r="17" spans="2:12" ht="1.5" customHeight="1">
      <c r="C17" s="36"/>
      <c r="D17" s="36"/>
      <c r="E17" s="36"/>
      <c r="F17" s="36"/>
      <c r="G17" s="36"/>
      <c r="H17" s="36"/>
      <c r="I17" s="36"/>
      <c r="J17" s="36"/>
      <c r="K17" s="36"/>
      <c r="L17" s="36"/>
    </row>
    <row r="18" spans="2:12" ht="12" customHeight="1">
      <c r="B18" s="42" t="s">
        <v>29</v>
      </c>
      <c r="C18" s="44" t="s">
        <v>17</v>
      </c>
      <c r="D18" s="45"/>
      <c r="E18" s="13" t="s">
        <v>28</v>
      </c>
      <c r="F18" s="14"/>
      <c r="G18" s="13"/>
      <c r="H18" s="14"/>
      <c r="I18" s="13"/>
      <c r="J18" s="14"/>
      <c r="K18" s="13" t="s">
        <v>30</v>
      </c>
      <c r="L18" s="15" t="s">
        <v>31</v>
      </c>
    </row>
    <row r="19" spans="2:12" ht="12" customHeight="1">
      <c r="B19" s="43"/>
      <c r="C19" s="46">
        <f>L11</f>
        <v>5400</v>
      </c>
      <c r="D19" s="47"/>
      <c r="E19" s="34">
        <f>L16</f>
        <v>0</v>
      </c>
      <c r="F19" s="35"/>
      <c r="G19" s="34"/>
      <c r="H19" s="35"/>
      <c r="I19" s="34"/>
      <c r="J19" s="35"/>
      <c r="K19" s="34">
        <f>L19-J19</f>
        <v>5400</v>
      </c>
      <c r="L19" s="32">
        <f>C19-E19</f>
        <v>5400</v>
      </c>
    </row>
    <row r="20" spans="2:12" ht="18.75" customHeight="1"/>
    <row r="21" spans="2:12" ht="18.75" customHeight="1"/>
    <row r="22" spans="2:12" ht="18.75" customHeight="1"/>
    <row r="23" spans="2:12" ht="18.75" customHeight="1"/>
    <row r="24" spans="2:12" ht="18.75" customHeight="1"/>
    <row r="25" spans="2:12" ht="18.75" customHeight="1"/>
    <row r="26" spans="2:12" ht="18.75" customHeight="1"/>
    <row r="27" spans="2:12" ht="18.75" customHeight="1"/>
    <row r="28" spans="2:12" ht="18.75" customHeight="1"/>
    <row r="29" spans="2:12" ht="18.75" customHeight="1"/>
    <row r="30" spans="2:12" ht="18.75" customHeight="1"/>
    <row r="31" spans="2:12" ht="18.75" customHeight="1"/>
    <row r="32" spans="2:1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</sheetData>
  <mergeCells count="19">
    <mergeCell ref="B18:B19"/>
    <mergeCell ref="C18:D18"/>
    <mergeCell ref="C19:D19"/>
    <mergeCell ref="B8:B11"/>
    <mergeCell ref="C8:D8"/>
    <mergeCell ref="C9:D9"/>
    <mergeCell ref="C10:D10"/>
    <mergeCell ref="C11:D11"/>
    <mergeCell ref="B13:B16"/>
    <mergeCell ref="C13:D13"/>
    <mergeCell ref="C14:D14"/>
    <mergeCell ref="C15:D15"/>
    <mergeCell ref="C16:D16"/>
    <mergeCell ref="A2:B2"/>
    <mergeCell ref="B3:F3"/>
    <mergeCell ref="B4:C4"/>
    <mergeCell ref="D4:E4"/>
    <mergeCell ref="B5:C5"/>
    <mergeCell ref="D5:E5"/>
  </mergeCells>
  <phoneticPr fontId="16"/>
  <pageMargins left="0.7" right="0.7" top="0.75" bottom="0.75" header="0" footer="0"/>
  <pageSetup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3765A-D546-41F6-AE44-EF9BA00DE772}">
  <dimension ref="A1:L974"/>
  <sheetViews>
    <sheetView workbookViewId="0">
      <selection activeCell="G11" sqref="G11"/>
    </sheetView>
  </sheetViews>
  <sheetFormatPr defaultColWidth="14.3984375" defaultRowHeight="15" customHeight="1"/>
  <cols>
    <col min="1" max="26" width="8.73046875" customWidth="1"/>
  </cols>
  <sheetData>
    <row r="1" spans="1:12" ht="18.75" customHeight="1"/>
    <row r="2" spans="1:12" ht="18" customHeight="1" thickBot="1">
      <c r="A2" s="58">
        <v>2025</v>
      </c>
      <c r="B2" s="59"/>
      <c r="C2" s="2" t="s">
        <v>0</v>
      </c>
      <c r="D2" s="3"/>
      <c r="E2" s="3" t="s">
        <v>104</v>
      </c>
    </row>
    <row r="3" spans="1:12" ht="18" customHeight="1">
      <c r="B3" s="60" t="s">
        <v>1</v>
      </c>
      <c r="C3" s="61"/>
      <c r="D3" s="61"/>
      <c r="E3" s="61"/>
      <c r="F3" s="62"/>
      <c r="H3" s="4"/>
      <c r="I3" s="5"/>
      <c r="J3" s="6"/>
    </row>
    <row r="4" spans="1:12" ht="18" customHeight="1">
      <c r="B4" s="63"/>
      <c r="C4" s="59"/>
      <c r="D4" s="64" t="s">
        <v>2</v>
      </c>
      <c r="E4" s="59"/>
      <c r="F4" s="7"/>
      <c r="G4" s="37" t="s">
        <v>3</v>
      </c>
      <c r="H4" s="8"/>
    </row>
    <row r="5" spans="1:12" ht="18" customHeight="1" thickBot="1">
      <c r="B5" s="65" t="s">
        <v>4</v>
      </c>
      <c r="C5" s="66"/>
      <c r="D5" s="67" t="s">
        <v>91</v>
      </c>
      <c r="E5" s="66"/>
      <c r="F5" s="9" t="s">
        <v>5</v>
      </c>
      <c r="G5" s="10">
        <v>9</v>
      </c>
      <c r="J5" s="11"/>
    </row>
    <row r="6" spans="1:12" ht="1.5" customHeight="1">
      <c r="B6" s="12"/>
      <c r="J6" s="11"/>
    </row>
    <row r="7" spans="1:12" ht="1.5" customHeight="1">
      <c r="B7" s="22"/>
      <c r="C7" s="17"/>
      <c r="D7" s="17"/>
      <c r="E7" s="17"/>
      <c r="F7" s="23"/>
      <c r="G7" s="17"/>
      <c r="H7" s="17"/>
      <c r="I7" s="17"/>
      <c r="J7" s="17"/>
      <c r="K7" s="17"/>
      <c r="L7" s="17"/>
    </row>
    <row r="8" spans="1:12" ht="12" customHeight="1">
      <c r="A8" s="24"/>
      <c r="B8" s="48" t="s">
        <v>6</v>
      </c>
      <c r="C8" s="50" t="s">
        <v>37</v>
      </c>
      <c r="D8" s="45"/>
      <c r="E8" s="25" t="s">
        <v>8</v>
      </c>
      <c r="F8" s="14" t="s">
        <v>9</v>
      </c>
      <c r="G8" s="26" t="s">
        <v>10</v>
      </c>
      <c r="H8" s="14" t="s">
        <v>11</v>
      </c>
      <c r="I8" s="13" t="s">
        <v>78</v>
      </c>
      <c r="J8" s="13" t="s">
        <v>13</v>
      </c>
      <c r="K8" s="13" t="s">
        <v>14</v>
      </c>
      <c r="L8" s="15"/>
    </row>
    <row r="9" spans="1:12" ht="12" customHeight="1">
      <c r="B9" s="49"/>
      <c r="C9" s="51">
        <f>LEFT(C10,FIND("×",C10)-1)*RIGHT(C10,LEN(C10)-FIND("×",C10))+IF(C11&lt;&gt;"",LEFT(C11,FIND("×",C11)-1)*RIGHT(C11,LEN(C11)-FIND("×",C11)),0)</f>
        <v>48600</v>
      </c>
      <c r="D9" s="47"/>
      <c r="E9" s="16">
        <f>LEFT(E10,FIND("（10分）×",E10)-1)*RIGHT(E10,LEN(E10)-FIND("×",E10))+LEFT(E11,FIND("（時間）×",E11)-1)*RIGHT(E11,LEN(E11)-FIND("×",E11))</f>
        <v>0</v>
      </c>
      <c r="F9" s="16">
        <f>LEFT(F10,FIND("×",F10)-1)*RIGHT(F10,LEN(F10)-FIND("×",F10))+IF(F11&lt;&gt;"",LEFT(F11,FIND("×",F11)-1)*RIGHT(F11,LEN(F11)-FIND("×",F11)),0)</f>
        <v>0</v>
      </c>
      <c r="G9" s="16">
        <f>LEFT(G10,FIND("（受験生）×",G10)-1)*RIGHT(G10,LEN(G10)-FIND("×",G10))+LEFT(G11,FIND("（高校生）×",G11)-1)*RIGHT(G11,LEN(G11)-FIND("×",G11))</f>
        <v>2400</v>
      </c>
      <c r="H9" s="16">
        <f>IF(H8&lt;&gt;"",LEFT(H10,FIND("×",H10)-1)*RIGHT(H10,LEN(H10)-FIND("×",H10))+IF(H11&lt;&gt;"",LEFT(H11,FIND("×",H11)-1)*RIGHT(H11,LEN(H11)-FIND("×",H11)),0),"")</f>
        <v>0</v>
      </c>
      <c r="I9" s="16">
        <f>IF(I8&lt;&gt;"",LEFT(I10,FIND("×",I10)-1)*RIGHT(I10,LEN(I10)-FIND("×",I10))+IF(I11&lt;&gt;"",LEFT(I11,FIND("×",I11)-1)*RIGHT(I11,LEN(I11)-FIND("×",I11)),0),"")</f>
        <v>0</v>
      </c>
      <c r="J9" s="16">
        <f>IF(J8&lt;&gt;"",LEFT(J10,FIND("×",J10)-1)*RIGHT(J10,LEN(J10)-FIND("×",J10))+IF(J11&lt;&gt;"",LEFT(J11,FIND("×",J11)-1)*RIGHT(J11,LEN(J11)-FIND("×",J11)),0),"")</f>
        <v>0</v>
      </c>
      <c r="K9" s="16">
        <f>IF(K8&lt;&gt;"",LEFT(K10,FIND("×",K10)-1)*RIGHT(K10,LEN(K10)-FIND("×",K10))+IF(K11&lt;&gt;"",LEFT(K11,FIND("×",K11)-1)*RIGHT(K11,LEN(K11)-FIND("×",K11)),0),"")</f>
        <v>0</v>
      </c>
      <c r="L9" s="34"/>
    </row>
    <row r="10" spans="1:12" ht="12" customHeight="1">
      <c r="B10" s="49"/>
      <c r="C10" s="52" t="s">
        <v>120</v>
      </c>
      <c r="D10" s="53"/>
      <c r="E10" s="19" t="s">
        <v>46</v>
      </c>
      <c r="F10" s="27" t="s">
        <v>83</v>
      </c>
      <c r="G10" s="28" t="s">
        <v>85</v>
      </c>
      <c r="H10" s="27" t="s">
        <v>92</v>
      </c>
      <c r="I10" s="29" t="s">
        <v>79</v>
      </c>
      <c r="J10" s="27" t="s">
        <v>65</v>
      </c>
      <c r="K10" s="29" t="s">
        <v>39</v>
      </c>
      <c r="L10" s="30" t="s">
        <v>17</v>
      </c>
    </row>
    <row r="11" spans="1:12" ht="12" customHeight="1">
      <c r="B11" s="43"/>
      <c r="C11" s="52"/>
      <c r="D11" s="53"/>
      <c r="E11" s="20" t="s">
        <v>48</v>
      </c>
      <c r="F11" s="31"/>
      <c r="G11" s="21" t="s">
        <v>93</v>
      </c>
      <c r="H11" s="27" t="s">
        <v>18</v>
      </c>
      <c r="I11" s="29" t="s">
        <v>33</v>
      </c>
      <c r="J11" s="31"/>
      <c r="K11" s="29"/>
      <c r="L11" s="32">
        <f>SUM(C9:L9)</f>
        <v>51000</v>
      </c>
    </row>
    <row r="12" spans="1:12" ht="1.5" customHeight="1">
      <c r="B12" s="33"/>
      <c r="C12" s="17"/>
      <c r="D12" s="17"/>
      <c r="E12" s="17"/>
      <c r="F12" s="17"/>
      <c r="G12" s="17"/>
      <c r="H12" s="17"/>
      <c r="I12" s="17"/>
      <c r="J12" s="17"/>
      <c r="K12" s="17"/>
      <c r="L12" s="17"/>
    </row>
    <row r="13" spans="1:12" ht="12" customHeight="1">
      <c r="B13" s="56" t="s">
        <v>19</v>
      </c>
      <c r="C13" s="44" t="s">
        <v>20</v>
      </c>
      <c r="D13" s="45"/>
      <c r="E13" s="13" t="s">
        <v>21</v>
      </c>
      <c r="F13" s="13" t="s">
        <v>22</v>
      </c>
      <c r="G13" s="13"/>
      <c r="H13" s="14" t="s">
        <v>23</v>
      </c>
      <c r="I13" s="13" t="s">
        <v>24</v>
      </c>
      <c r="J13" s="14" t="s">
        <v>25</v>
      </c>
      <c r="K13" s="13" t="s">
        <v>26</v>
      </c>
      <c r="L13" s="15" t="s">
        <v>27</v>
      </c>
    </row>
    <row r="14" spans="1:12" ht="12" customHeight="1">
      <c r="B14" s="49"/>
      <c r="C14" s="57">
        <v>0</v>
      </c>
      <c r="D14" s="47"/>
      <c r="E14" s="34">
        <v>0</v>
      </c>
      <c r="F14" s="35">
        <v>0</v>
      </c>
      <c r="G14" s="34"/>
      <c r="H14" s="35">
        <f>SUM(C14:G14)</f>
        <v>0</v>
      </c>
      <c r="I14" s="34">
        <f>L11-K9-H14</f>
        <v>51000</v>
      </c>
      <c r="J14" s="35">
        <v>0</v>
      </c>
      <c r="K14" s="34">
        <v>0</v>
      </c>
      <c r="L14" s="32">
        <f>SUM(J14:K14)</f>
        <v>0</v>
      </c>
    </row>
    <row r="15" spans="1:12" ht="12" customHeight="1">
      <c r="B15" s="49"/>
      <c r="C15" s="44"/>
      <c r="D15" s="45"/>
      <c r="E15" s="13"/>
      <c r="F15" s="14"/>
      <c r="G15" s="13"/>
      <c r="H15" s="14"/>
      <c r="I15" s="13"/>
      <c r="J15" s="14"/>
      <c r="K15" s="13"/>
      <c r="L15" s="15" t="s">
        <v>28</v>
      </c>
    </row>
    <row r="16" spans="1:12" ht="12" customHeight="1">
      <c r="B16" s="43"/>
      <c r="C16" s="51"/>
      <c r="D16" s="47"/>
      <c r="E16" s="34"/>
      <c r="F16" s="35"/>
      <c r="G16" s="34"/>
      <c r="H16" s="35"/>
      <c r="I16" s="34"/>
      <c r="J16" s="35"/>
      <c r="K16" s="34"/>
      <c r="L16" s="32">
        <f>H14+L14</f>
        <v>0</v>
      </c>
    </row>
    <row r="17" spans="2:12" ht="1.5" customHeight="1">
      <c r="C17" s="36"/>
      <c r="D17" s="36"/>
      <c r="E17" s="36"/>
      <c r="F17" s="36"/>
      <c r="G17" s="36"/>
      <c r="H17" s="36"/>
      <c r="I17" s="36"/>
      <c r="J17" s="36"/>
      <c r="K17" s="36"/>
      <c r="L17" s="36"/>
    </row>
    <row r="18" spans="2:12" ht="12" customHeight="1">
      <c r="B18" s="42" t="s">
        <v>29</v>
      </c>
      <c r="C18" s="44" t="s">
        <v>17</v>
      </c>
      <c r="D18" s="45"/>
      <c r="E18" s="13" t="s">
        <v>28</v>
      </c>
      <c r="F18" s="14"/>
      <c r="G18" s="13"/>
      <c r="H18" s="14"/>
      <c r="I18" s="13"/>
      <c r="J18" s="14"/>
      <c r="K18" s="13" t="s">
        <v>30</v>
      </c>
      <c r="L18" s="15" t="s">
        <v>31</v>
      </c>
    </row>
    <row r="19" spans="2:12" ht="12" customHeight="1">
      <c r="B19" s="43"/>
      <c r="C19" s="46">
        <f>L11</f>
        <v>51000</v>
      </c>
      <c r="D19" s="47"/>
      <c r="E19" s="34">
        <f>L16</f>
        <v>0</v>
      </c>
      <c r="F19" s="35"/>
      <c r="G19" s="34"/>
      <c r="H19" s="35"/>
      <c r="I19" s="34"/>
      <c r="J19" s="35"/>
      <c r="K19" s="34">
        <f>L19-J19</f>
        <v>51000</v>
      </c>
      <c r="L19" s="32">
        <f>C19-E19</f>
        <v>51000</v>
      </c>
    </row>
    <row r="20" spans="2:12" ht="18.75" customHeight="1"/>
    <row r="21" spans="2:12" ht="18.75" customHeight="1"/>
    <row r="22" spans="2:12" ht="18.75" customHeight="1"/>
    <row r="23" spans="2:12" ht="18.75" customHeight="1"/>
    <row r="24" spans="2:12" ht="18.75" customHeight="1"/>
    <row r="25" spans="2:12" ht="18.75" customHeight="1"/>
    <row r="26" spans="2:12" ht="18.75" customHeight="1"/>
    <row r="27" spans="2:12" ht="18.75" customHeight="1"/>
    <row r="28" spans="2:12" ht="18.75" customHeight="1"/>
    <row r="29" spans="2:12" ht="18.75" customHeight="1"/>
    <row r="30" spans="2:12" ht="18.75" customHeight="1"/>
    <row r="31" spans="2:12" ht="18.75" customHeight="1"/>
    <row r="32" spans="2:1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</sheetData>
  <mergeCells count="19">
    <mergeCell ref="B18:B19"/>
    <mergeCell ref="C18:D18"/>
    <mergeCell ref="C19:D19"/>
    <mergeCell ref="B8:B11"/>
    <mergeCell ref="C8:D8"/>
    <mergeCell ref="C9:D9"/>
    <mergeCell ref="C10:D10"/>
    <mergeCell ref="C11:D11"/>
    <mergeCell ref="B13:B16"/>
    <mergeCell ref="C13:D13"/>
    <mergeCell ref="C14:D14"/>
    <mergeCell ref="C15:D15"/>
    <mergeCell ref="C16:D16"/>
    <mergeCell ref="A2:B2"/>
    <mergeCell ref="B3:F3"/>
    <mergeCell ref="B4:C4"/>
    <mergeCell ref="D4:E4"/>
    <mergeCell ref="B5:C5"/>
    <mergeCell ref="D5:E5"/>
  </mergeCells>
  <phoneticPr fontId="16"/>
  <pageMargins left="0.7" right="0.7" top="0.75" bottom="0.75" header="0" footer="0"/>
  <pageSetup orientation="landscape" horizontalDpi="4294967293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974"/>
  <sheetViews>
    <sheetView workbookViewId="0">
      <selection activeCell="C11" sqref="C11:D11"/>
    </sheetView>
  </sheetViews>
  <sheetFormatPr defaultColWidth="14.3984375" defaultRowHeight="15" customHeight="1"/>
  <cols>
    <col min="1" max="26" width="8.73046875" customWidth="1"/>
  </cols>
  <sheetData>
    <row r="1" spans="1:12" ht="18.75" customHeight="1"/>
    <row r="2" spans="1:12" ht="18" customHeight="1">
      <c r="A2" s="58">
        <v>2024</v>
      </c>
      <c r="B2" s="59"/>
      <c r="C2" s="2" t="s">
        <v>0</v>
      </c>
      <c r="D2" s="3"/>
      <c r="E2" s="3" t="s">
        <v>88</v>
      </c>
    </row>
    <row r="3" spans="1:12" ht="18" customHeight="1">
      <c r="B3" s="60" t="s">
        <v>1</v>
      </c>
      <c r="C3" s="61"/>
      <c r="D3" s="61"/>
      <c r="E3" s="61"/>
      <c r="F3" s="62"/>
      <c r="H3" s="4"/>
      <c r="I3" s="5"/>
      <c r="J3" s="6"/>
    </row>
    <row r="4" spans="1:12" ht="18" customHeight="1">
      <c r="B4" s="63"/>
      <c r="C4" s="59"/>
      <c r="D4" s="64" t="s">
        <v>2</v>
      </c>
      <c r="E4" s="59"/>
      <c r="F4" s="7"/>
      <c r="G4" s="37" t="s">
        <v>3</v>
      </c>
      <c r="H4" s="8"/>
    </row>
    <row r="5" spans="1:12" ht="18" customHeight="1">
      <c r="B5" s="65" t="s">
        <v>4</v>
      </c>
      <c r="C5" s="66"/>
      <c r="D5" s="67" t="s">
        <v>80</v>
      </c>
      <c r="E5" s="66"/>
      <c r="F5" s="9" t="s">
        <v>5</v>
      </c>
      <c r="G5" s="10">
        <v>3</v>
      </c>
      <c r="J5" s="11"/>
    </row>
    <row r="6" spans="1:12" ht="1.5" customHeight="1">
      <c r="B6" s="12"/>
      <c r="J6" s="11"/>
    </row>
    <row r="7" spans="1:12" ht="1.5" customHeight="1">
      <c r="B7" s="22"/>
      <c r="C7" s="17"/>
      <c r="D7" s="17"/>
      <c r="E7" s="17"/>
      <c r="F7" s="23"/>
      <c r="G7" s="17"/>
      <c r="H7" s="17"/>
      <c r="I7" s="17"/>
      <c r="J7" s="17"/>
      <c r="K7" s="17"/>
      <c r="L7" s="17"/>
    </row>
    <row r="8" spans="1:12" ht="12" customHeight="1">
      <c r="A8" s="24"/>
      <c r="B8" s="48" t="s">
        <v>6</v>
      </c>
      <c r="C8" s="50" t="s">
        <v>7</v>
      </c>
      <c r="D8" s="45"/>
      <c r="E8" s="25" t="s">
        <v>8</v>
      </c>
      <c r="F8" s="14" t="s">
        <v>69</v>
      </c>
      <c r="G8" s="26" t="s">
        <v>63</v>
      </c>
      <c r="H8" s="14" t="s">
        <v>11</v>
      </c>
      <c r="I8" s="13" t="s">
        <v>12</v>
      </c>
      <c r="J8" s="13" t="s">
        <v>13</v>
      </c>
      <c r="K8" s="13" t="s">
        <v>14</v>
      </c>
      <c r="L8" s="15"/>
    </row>
    <row r="9" spans="1:12" ht="12" customHeight="1">
      <c r="B9" s="49"/>
      <c r="C9" s="51">
        <f>LEFT(C10,FIND("（ｺﾏ）×",C10)-1)*RIGHT(C10,LEN(C10)-FIND("×",C10))+IF(C11&lt;&gt;"",LEFT(C11,FIND("×",C11)-1)*RIGHT(C11,LEN(C11)-FIND("×",C11)),0)</f>
        <v>26600</v>
      </c>
      <c r="D9" s="47"/>
      <c r="E9" s="16">
        <f>LEFT(E10,FIND("（10分）×",E10)-1)*RIGHT(E10,LEN(E10)-FIND("×",E10))+LEFT(E11,FIND("（時間）×",E11)-1)*RIGHT(E11,LEN(E11)-FIND("×",E11))</f>
        <v>0</v>
      </c>
      <c r="F9" s="16">
        <f>LEFT(F10,FIND("×",F10)-1)*RIGHT(F10,LEN(F10)-FIND("×",F10))+IF(F11&lt;&gt;"",LEFT(F11,FIND("×",F11)-1)*RIGHT(F11,LEN(F11)-FIND("×",F11)),0)</f>
        <v>0</v>
      </c>
      <c r="G9" s="16">
        <f>LEFT(G10,FIND("（受験生）×",G10)-1)*RIGHT(G10,LEN(G10)-FIND("×",G10))+LEFT(G11,FIND("（高校生）×",G11)-1)*RIGHT(G11,LEN(G11)-FIND("×",G11))</f>
        <v>3200</v>
      </c>
      <c r="H9" s="16">
        <f>IF(H8&lt;&gt;"",LEFT(H10,FIND("×",H10)-1)*RIGHT(H10,LEN(H10)-FIND("×",H10))+IF(H11&lt;&gt;"",LEFT(H11,FIND("×",H11)-1)*RIGHT(H11,LEN(H11)-FIND("×",H11)),0),"")</f>
        <v>0</v>
      </c>
      <c r="I9" s="16">
        <f>IF(I8&lt;&gt;"",LEFT(I10,FIND("×",I10)-1)*RIGHT(I10,LEN(I10)-FIND("×",I10))+IF(I11&lt;&gt;"",LEFT(I11,FIND("×",I11)-1)*RIGHT(I11,LEN(I11)-FIND("×",I11)),0),"")</f>
        <v>0</v>
      </c>
      <c r="J9" s="16">
        <f>IF(J8&lt;&gt;"",LEFT(J10,FIND("×",J10)-1)*RIGHT(J10,LEN(J10)-FIND("×",J10))+IF(J11&lt;&gt;"",LEFT(J11,FIND("×",J11)-1)*RIGHT(J11,LEN(J11)-FIND("×",J11)),0),"")</f>
        <v>0</v>
      </c>
      <c r="K9" s="16">
        <f>IF(K8&lt;&gt;"",LEFT(K10,FIND("×",K10)-1)*RIGHT(K10,LEN(K10)-FIND("×",K10))+IF(K11&lt;&gt;"",LEFT(K11,FIND("×",K11)-1)*RIGHT(K11,LEN(K11)-FIND("×",K11)),0),"")</f>
        <v>0</v>
      </c>
      <c r="L9" s="34"/>
    </row>
    <row r="10" spans="1:12" ht="12" customHeight="1">
      <c r="B10" s="49"/>
      <c r="C10" s="52" t="s">
        <v>89</v>
      </c>
      <c r="D10" s="53"/>
      <c r="E10" s="19" t="s">
        <v>52</v>
      </c>
      <c r="F10" s="27" t="s">
        <v>83</v>
      </c>
      <c r="G10" s="28" t="s">
        <v>76</v>
      </c>
      <c r="H10" s="27" t="s">
        <v>70</v>
      </c>
      <c r="I10" s="29" t="s">
        <v>16</v>
      </c>
      <c r="J10" s="27" t="s">
        <v>68</v>
      </c>
      <c r="K10" s="29" t="s">
        <v>39</v>
      </c>
      <c r="L10" s="30" t="s">
        <v>17</v>
      </c>
    </row>
    <row r="11" spans="1:12" ht="12" customHeight="1">
      <c r="B11" s="43"/>
      <c r="C11" s="54"/>
      <c r="D11" s="55"/>
      <c r="E11" s="20" t="s">
        <v>53</v>
      </c>
      <c r="F11" s="31"/>
      <c r="G11" s="21" t="s">
        <v>77</v>
      </c>
      <c r="H11" s="18"/>
      <c r="I11" s="21" t="s">
        <v>33</v>
      </c>
      <c r="J11" s="31"/>
      <c r="K11" s="21"/>
      <c r="L11" s="32">
        <f>SUM(C9:L9)</f>
        <v>29800</v>
      </c>
    </row>
    <row r="12" spans="1:12" ht="1.5" customHeight="1">
      <c r="B12" s="33"/>
      <c r="C12" s="17"/>
      <c r="D12" s="17"/>
      <c r="E12" s="17"/>
      <c r="F12" s="17"/>
      <c r="G12" s="17"/>
      <c r="H12" s="17"/>
      <c r="I12" s="17"/>
      <c r="J12" s="17"/>
      <c r="K12" s="17"/>
      <c r="L12" s="17"/>
    </row>
    <row r="13" spans="1:12" ht="12" customHeight="1">
      <c r="B13" s="56" t="s">
        <v>19</v>
      </c>
      <c r="C13" s="44" t="s">
        <v>20</v>
      </c>
      <c r="D13" s="45"/>
      <c r="E13" s="13" t="s">
        <v>21</v>
      </c>
      <c r="F13" s="13" t="s">
        <v>22</v>
      </c>
      <c r="G13" s="13"/>
      <c r="H13" s="14" t="s">
        <v>23</v>
      </c>
      <c r="I13" s="13" t="s">
        <v>24</v>
      </c>
      <c r="J13" s="14" t="s">
        <v>25</v>
      </c>
      <c r="K13" s="13" t="s">
        <v>26</v>
      </c>
      <c r="L13" s="15" t="s">
        <v>27</v>
      </c>
    </row>
    <row r="14" spans="1:12" ht="12" customHeight="1">
      <c r="B14" s="49"/>
      <c r="C14" s="57">
        <v>0</v>
      </c>
      <c r="D14" s="47"/>
      <c r="E14" s="34">
        <v>0</v>
      </c>
      <c r="F14" s="35">
        <v>0</v>
      </c>
      <c r="G14" s="34"/>
      <c r="H14" s="35">
        <f>SUM(C14:G14)</f>
        <v>0</v>
      </c>
      <c r="I14" s="34">
        <f>L11-K9-H14</f>
        <v>29800</v>
      </c>
      <c r="J14" s="35">
        <v>0</v>
      </c>
      <c r="K14" s="34">
        <v>0</v>
      </c>
      <c r="L14" s="32">
        <f>SUM(J14:K14)</f>
        <v>0</v>
      </c>
    </row>
    <row r="15" spans="1:12" ht="12" customHeight="1">
      <c r="B15" s="49"/>
      <c r="C15" s="44"/>
      <c r="D15" s="45"/>
      <c r="E15" s="13"/>
      <c r="F15" s="14"/>
      <c r="G15" s="13"/>
      <c r="H15" s="14"/>
      <c r="I15" s="13"/>
      <c r="J15" s="14"/>
      <c r="K15" s="13"/>
      <c r="L15" s="15" t="s">
        <v>28</v>
      </c>
    </row>
    <row r="16" spans="1:12" ht="12" customHeight="1">
      <c r="B16" s="43"/>
      <c r="C16" s="51"/>
      <c r="D16" s="47"/>
      <c r="E16" s="34"/>
      <c r="F16" s="35"/>
      <c r="G16" s="34"/>
      <c r="H16" s="35"/>
      <c r="I16" s="34"/>
      <c r="J16" s="35"/>
      <c r="K16" s="34"/>
      <c r="L16" s="32">
        <f>H14+L14</f>
        <v>0</v>
      </c>
    </row>
    <row r="17" spans="2:12" ht="1.5" customHeight="1">
      <c r="C17" s="36"/>
      <c r="D17" s="36"/>
      <c r="E17" s="36"/>
      <c r="F17" s="36"/>
      <c r="G17" s="36"/>
      <c r="H17" s="36"/>
      <c r="I17" s="36"/>
      <c r="J17" s="36"/>
      <c r="K17" s="36"/>
      <c r="L17" s="36"/>
    </row>
    <row r="18" spans="2:12" ht="12" customHeight="1">
      <c r="B18" s="42" t="s">
        <v>29</v>
      </c>
      <c r="C18" s="44" t="s">
        <v>17</v>
      </c>
      <c r="D18" s="45"/>
      <c r="E18" s="13" t="s">
        <v>28</v>
      </c>
      <c r="F18" s="14"/>
      <c r="G18" s="13"/>
      <c r="H18" s="14"/>
      <c r="I18" s="13"/>
      <c r="J18" s="14"/>
      <c r="K18" s="13" t="s">
        <v>30</v>
      </c>
      <c r="L18" s="15" t="s">
        <v>31</v>
      </c>
    </row>
    <row r="19" spans="2:12" ht="12" customHeight="1">
      <c r="B19" s="43"/>
      <c r="C19" s="46">
        <f>L11</f>
        <v>29800</v>
      </c>
      <c r="D19" s="47"/>
      <c r="E19" s="34">
        <f>L16</f>
        <v>0</v>
      </c>
      <c r="F19" s="35"/>
      <c r="G19" s="34"/>
      <c r="H19" s="35"/>
      <c r="I19" s="34"/>
      <c r="J19" s="35"/>
      <c r="K19" s="34">
        <f>L19-J19</f>
        <v>29800</v>
      </c>
      <c r="L19" s="32">
        <f>C19-E19</f>
        <v>29800</v>
      </c>
    </row>
    <row r="20" spans="2:12" ht="18.75" customHeight="1"/>
    <row r="21" spans="2:12" ht="18.75" customHeight="1"/>
    <row r="22" spans="2:12" ht="18.75" customHeight="1"/>
    <row r="23" spans="2:12" ht="18.75" customHeight="1"/>
    <row r="24" spans="2:12" ht="18.75" customHeight="1"/>
    <row r="25" spans="2:12" ht="18.75" customHeight="1"/>
    <row r="26" spans="2:12" ht="18.75" customHeight="1"/>
    <row r="27" spans="2:12" ht="18.75" customHeight="1"/>
    <row r="28" spans="2:12" ht="18.75" customHeight="1"/>
    <row r="29" spans="2:12" ht="18.75" customHeight="1"/>
    <row r="30" spans="2:12" ht="18.75" customHeight="1"/>
    <row r="31" spans="2:12" ht="18.75" customHeight="1"/>
    <row r="32" spans="2:1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</sheetData>
  <mergeCells count="19">
    <mergeCell ref="C16:D16"/>
    <mergeCell ref="C18:D18"/>
    <mergeCell ref="C19:D19"/>
    <mergeCell ref="A2:B2"/>
    <mergeCell ref="B8:B11"/>
    <mergeCell ref="B13:B16"/>
    <mergeCell ref="B18:B19"/>
    <mergeCell ref="B3:F3"/>
    <mergeCell ref="B4:C4"/>
    <mergeCell ref="D4:E4"/>
    <mergeCell ref="C14:D14"/>
    <mergeCell ref="B5:C5"/>
    <mergeCell ref="D5:E5"/>
    <mergeCell ref="C11:D11"/>
    <mergeCell ref="C13:D13"/>
    <mergeCell ref="C8:D8"/>
    <mergeCell ref="C9:D9"/>
    <mergeCell ref="C10:D10"/>
    <mergeCell ref="C15:D15"/>
  </mergeCells>
  <phoneticPr fontId="16"/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13</vt:i4>
      </vt:variant>
      <vt:variant>
        <vt:lpstr>名前付き一覧</vt:lpstr>
      </vt:variant>
      <vt:variant>
        <vt:i4>2</vt:i4>
      </vt:variant>
    </vt:vector>
  </HeadingPairs>
  <TitlesOfParts>
    <vt:vector size="15" baseType="lpstr">
      <vt:lpstr>中村先生</vt:lpstr>
      <vt:lpstr>中先生</vt:lpstr>
      <vt:lpstr>野村</vt:lpstr>
      <vt:lpstr>一之谷</vt:lpstr>
      <vt:lpstr>濱田</vt:lpstr>
      <vt:lpstr>半田久</vt:lpstr>
      <vt:lpstr>原口</vt:lpstr>
      <vt:lpstr>内村</vt:lpstr>
      <vt:lpstr>近藤</vt:lpstr>
      <vt:lpstr>田村</vt:lpstr>
      <vt:lpstr>波多野</vt:lpstr>
      <vt:lpstr>内舜</vt:lpstr>
      <vt:lpstr>杉山</vt:lpstr>
      <vt:lpstr>中先生!Print_Area</vt:lpstr>
      <vt:lpstr>中村先生!Print_Area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1221 ky</dc:creator>
  <cp:lastModifiedBy>Nana Yamakawa</cp:lastModifiedBy>
  <cp:lastPrinted>2025-04-21T06:15:40Z</cp:lastPrinted>
  <dcterms:created xsi:type="dcterms:W3CDTF">2023-02-18T07:29:35Z</dcterms:created>
  <dcterms:modified xsi:type="dcterms:W3CDTF">2025-04-25T04:24:51Z</dcterms:modified>
</cp:coreProperties>
</file>