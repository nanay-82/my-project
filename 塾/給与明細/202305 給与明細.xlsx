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nanay\OneDrive\デスクトップ\塾\給与明細\"/>
    </mc:Choice>
  </mc:AlternateContent>
  <xr:revisionPtr revIDLastSave="0" documentId="13_ncr:1_{F2BEF859-EDB8-4FAD-BD3E-63E94E4CB6DE}" xr6:coauthVersionLast="47" xr6:coauthVersionMax="47" xr10:uidLastSave="{00000000-0000-0000-0000-000000000000}"/>
  <bookViews>
    <workbookView xWindow="-98" yWindow="-98" windowWidth="20715" windowHeight="13155" activeTab="1" xr2:uid="{00000000-000D-0000-FFFF-FFFF00000000}"/>
  </bookViews>
  <sheets>
    <sheet name="中村先生" sheetId="15" r:id="rId1"/>
    <sheet name="中先生" sheetId="14" r:id="rId2"/>
    <sheet name="後藤先生" sheetId="3" r:id="rId3"/>
    <sheet name="政谷(現金）" sheetId="4" r:id="rId4"/>
    <sheet name="綱嶋（現金）" sheetId="5" r:id="rId5"/>
    <sheet name="濱田" sheetId="7" r:id="rId6"/>
    <sheet name="原口" sheetId="8" r:id="rId7"/>
    <sheet name="内村" sheetId="9" r:id="rId8"/>
    <sheet name="半田久" sheetId="10" r:id="rId9"/>
    <sheet name="半田楓" sheetId="12" r:id="rId10"/>
    <sheet name="野村" sheetId="11" r:id="rId11"/>
    <sheet name="一之谷" sheetId="13" r:id="rId12"/>
  </sheets>
  <definedNames>
    <definedName name="_xlnm.Print_Area" localSheetId="1">中先生!$A$1:$M$21</definedName>
    <definedName name="_xlnm.Print_Area" localSheetId="0">中村先生!$A$1:$M$20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7" roundtripDataSignature="AMtx7mi8m6aLjNi6S3+0EzHCnaX8hoeasg=="/>
    </ext>
  </extLst>
</workbook>
</file>

<file path=xl/calcChain.xml><?xml version="1.0" encoding="utf-8"?>
<calcChain xmlns="http://schemas.openxmlformats.org/spreadsheetml/2006/main">
  <c r="G9" i="13" l="1"/>
  <c r="G9" i="11"/>
  <c r="G9" i="12"/>
  <c r="G8" i="10"/>
  <c r="G9" i="9"/>
  <c r="G9" i="8"/>
  <c r="G9" i="7"/>
  <c r="L14" i="15" l="1"/>
  <c r="H14" i="15"/>
  <c r="K9" i="15"/>
  <c r="I9" i="15"/>
  <c r="H9" i="15"/>
  <c r="G9" i="15"/>
  <c r="F9" i="15"/>
  <c r="E9" i="15"/>
  <c r="C9" i="15"/>
  <c r="L14" i="14"/>
  <c r="H14" i="14"/>
  <c r="K9" i="14"/>
  <c r="I9" i="14"/>
  <c r="H9" i="14"/>
  <c r="G9" i="14"/>
  <c r="F9" i="14"/>
  <c r="E9" i="14"/>
  <c r="C9" i="14"/>
  <c r="L14" i="13"/>
  <c r="H14" i="13"/>
  <c r="K9" i="13"/>
  <c r="J9" i="13"/>
  <c r="I9" i="13"/>
  <c r="H9" i="13"/>
  <c r="E9" i="13"/>
  <c r="C9" i="13"/>
  <c r="L14" i="12"/>
  <c r="H14" i="12"/>
  <c r="K9" i="12"/>
  <c r="J9" i="12"/>
  <c r="I9" i="12"/>
  <c r="H9" i="12"/>
  <c r="F9" i="12"/>
  <c r="E9" i="12"/>
  <c r="C9" i="12"/>
  <c r="L14" i="11"/>
  <c r="H14" i="11"/>
  <c r="K9" i="11"/>
  <c r="J9" i="11"/>
  <c r="I9" i="11"/>
  <c r="H9" i="11"/>
  <c r="E9" i="11"/>
  <c r="C9" i="11"/>
  <c r="L13" i="10"/>
  <c r="H13" i="10"/>
  <c r="L15" i="10" s="1"/>
  <c r="E18" i="10" s="1"/>
  <c r="K8" i="10"/>
  <c r="J8" i="10"/>
  <c r="I8" i="10"/>
  <c r="H8" i="10"/>
  <c r="E8" i="10"/>
  <c r="C8" i="10"/>
  <c r="L16" i="9"/>
  <c r="E19" i="9" s="1"/>
  <c r="L14" i="9"/>
  <c r="H14" i="9"/>
  <c r="K9" i="9"/>
  <c r="J9" i="9"/>
  <c r="I9" i="9"/>
  <c r="H9" i="9"/>
  <c r="F9" i="9"/>
  <c r="E9" i="9"/>
  <c r="C9" i="9"/>
  <c r="L14" i="8"/>
  <c r="H14" i="8"/>
  <c r="K9" i="8"/>
  <c r="J9" i="8"/>
  <c r="I9" i="8"/>
  <c r="H9" i="8"/>
  <c r="F9" i="8"/>
  <c r="E9" i="8"/>
  <c r="C9" i="8"/>
  <c r="L14" i="7"/>
  <c r="H14" i="7"/>
  <c r="K9" i="7"/>
  <c r="J9" i="7"/>
  <c r="I9" i="7"/>
  <c r="H9" i="7"/>
  <c r="E9" i="7"/>
  <c r="C9" i="7"/>
  <c r="L42" i="5"/>
  <c r="E45" i="5" s="1"/>
  <c r="L40" i="5"/>
  <c r="H40" i="5"/>
  <c r="K35" i="5"/>
  <c r="J35" i="5"/>
  <c r="I35" i="5"/>
  <c r="H35" i="5"/>
  <c r="G35" i="5"/>
  <c r="F35" i="5"/>
  <c r="E35" i="5"/>
  <c r="C35" i="5"/>
  <c r="E30" i="5"/>
  <c r="C30" i="5"/>
  <c r="L17" i="5"/>
  <c r="H17" i="5"/>
  <c r="K12" i="5"/>
  <c r="J12" i="5"/>
  <c r="I12" i="5"/>
  <c r="H12" i="5"/>
  <c r="G12" i="5"/>
  <c r="F12" i="5"/>
  <c r="E12" i="5"/>
  <c r="C12" i="5"/>
  <c r="E7" i="5"/>
  <c r="C7" i="5"/>
  <c r="L14" i="5" s="1"/>
  <c r="L40" i="4"/>
  <c r="H40" i="4"/>
  <c r="L42" i="4" s="1"/>
  <c r="E45" i="4" s="1"/>
  <c r="K35" i="4"/>
  <c r="J35" i="4"/>
  <c r="I35" i="4"/>
  <c r="H35" i="4"/>
  <c r="G35" i="4"/>
  <c r="F35" i="4"/>
  <c r="E35" i="4"/>
  <c r="C35" i="4"/>
  <c r="E30" i="4"/>
  <c r="C30" i="4"/>
  <c r="L17" i="4"/>
  <c r="H17" i="4"/>
  <c r="L19" i="4" s="1"/>
  <c r="E22" i="4" s="1"/>
  <c r="K12" i="4"/>
  <c r="J12" i="4"/>
  <c r="I12" i="4"/>
  <c r="H12" i="4"/>
  <c r="G12" i="4"/>
  <c r="F12" i="4"/>
  <c r="E12" i="4"/>
  <c r="C12" i="4"/>
  <c r="E7" i="4"/>
  <c r="C7" i="4"/>
  <c r="L14" i="3"/>
  <c r="K9" i="3"/>
  <c r="I9" i="3"/>
  <c r="H9" i="3"/>
  <c r="E9" i="3"/>
  <c r="C9" i="3"/>
  <c r="L19" i="5" l="1"/>
  <c r="E22" i="5" s="1"/>
  <c r="L14" i="4"/>
  <c r="C22" i="4" s="1"/>
  <c r="L22" i="4" s="1"/>
  <c r="K22" i="4" s="1"/>
  <c r="L37" i="5"/>
  <c r="L11" i="9"/>
  <c r="C19" i="9" s="1"/>
  <c r="L19" i="9" s="1"/>
  <c r="K19" i="9" s="1"/>
  <c r="L16" i="14"/>
  <c r="E19" i="14" s="1"/>
  <c r="L11" i="8"/>
  <c r="I14" i="8" s="1"/>
  <c r="L11" i="7"/>
  <c r="I14" i="7" s="1"/>
  <c r="L16" i="15"/>
  <c r="E19" i="15" s="1"/>
  <c r="L11" i="3"/>
  <c r="L11" i="13"/>
  <c r="C19" i="13" s="1"/>
  <c r="L19" i="13" s="1"/>
  <c r="K19" i="13" s="1"/>
  <c r="L11" i="11"/>
  <c r="C19" i="11" s="1"/>
  <c r="L11" i="12"/>
  <c r="C19" i="12" s="1"/>
  <c r="L16" i="12"/>
  <c r="E19" i="12" s="1"/>
  <c r="L10" i="10"/>
  <c r="I13" i="10" s="1"/>
  <c r="L16" i="8"/>
  <c r="E19" i="8" s="1"/>
  <c r="L16" i="7"/>
  <c r="E19" i="7" s="1"/>
  <c r="L11" i="15"/>
  <c r="C19" i="15" s="1"/>
  <c r="L19" i="15" s="1"/>
  <c r="K19" i="15" s="1"/>
  <c r="L11" i="14"/>
  <c r="C19" i="14" s="1"/>
  <c r="L37" i="4"/>
  <c r="I40" i="4" s="1"/>
  <c r="L16" i="11"/>
  <c r="E19" i="11" s="1"/>
  <c r="L16" i="13"/>
  <c r="E19" i="13" s="1"/>
  <c r="C45" i="5"/>
  <c r="L45" i="5" s="1"/>
  <c r="K45" i="5" s="1"/>
  <c r="I40" i="5"/>
  <c r="C22" i="5"/>
  <c r="L22" i="5" s="1"/>
  <c r="K22" i="5" s="1"/>
  <c r="I17" i="5"/>
  <c r="I17" i="4" l="1"/>
  <c r="L19" i="12"/>
  <c r="K19" i="12" s="1"/>
  <c r="L19" i="14"/>
  <c r="K19" i="14" s="1"/>
  <c r="C19" i="3"/>
  <c r="L19" i="11"/>
  <c r="K19" i="11" s="1"/>
  <c r="I14" i="12"/>
  <c r="I14" i="15"/>
  <c r="I14" i="14"/>
  <c r="C45" i="4"/>
  <c r="L45" i="4" s="1"/>
  <c r="K45" i="4" s="1"/>
  <c r="C19" i="8"/>
  <c r="L19" i="8" s="1"/>
  <c r="K19" i="8" s="1"/>
  <c r="I14" i="9"/>
  <c r="C19" i="7"/>
  <c r="L19" i="7" s="1"/>
  <c r="K19" i="7" s="1"/>
  <c r="I14" i="11"/>
  <c r="I14" i="13"/>
  <c r="C18" i="10"/>
  <c r="L18" i="10" s="1"/>
  <c r="K18" i="10" s="1"/>
  <c r="H14" i="3" l="1"/>
  <c r="L16" i="3" s="1"/>
  <c r="E19" i="3" s="1"/>
  <c r="L19" i="3" s="1"/>
  <c r="K19" i="3" s="1"/>
  <c r="I14" i="3" l="1"/>
</calcChain>
</file>

<file path=xl/sharedStrings.xml><?xml version="1.0" encoding="utf-8"?>
<sst xmlns="http://schemas.openxmlformats.org/spreadsheetml/2006/main" count="643" uniqueCount="159">
  <si>
    <t>年</t>
  </si>
  <si>
    <t>12月1日～12月31日勤務分</t>
  </si>
  <si>
    <t>給与支給明細書</t>
  </si>
  <si>
    <t>講師</t>
  </si>
  <si>
    <t>出勤日数</t>
  </si>
  <si>
    <t>氏　名</t>
  </si>
  <si>
    <t>殿</t>
  </si>
  <si>
    <t>支給項目一</t>
  </si>
  <si>
    <t>集団指導料</t>
  </si>
  <si>
    <t>支給項目二</t>
  </si>
  <si>
    <t>個別指導料（ｺﾏ）</t>
  </si>
  <si>
    <t>個別指導料（分）</t>
  </si>
  <si>
    <t>1:2手当</t>
  </si>
  <si>
    <t>受験生手当</t>
  </si>
  <si>
    <t>事務給与</t>
  </si>
  <si>
    <t>プログラム作成給</t>
  </si>
  <si>
    <t>待機給</t>
  </si>
  <si>
    <t>交通費</t>
  </si>
  <si>
    <t>1050×0</t>
  </si>
  <si>
    <t>350×0</t>
  </si>
  <si>
    <t>総支給額</t>
  </si>
  <si>
    <t>175×0</t>
  </si>
  <si>
    <t>控除項目</t>
  </si>
  <si>
    <t>健康保険</t>
  </si>
  <si>
    <t>厚生年金保険</t>
  </si>
  <si>
    <t>雇用保険</t>
  </si>
  <si>
    <t>社会保険合計</t>
  </si>
  <si>
    <t>課税対象額</t>
  </si>
  <si>
    <t>所得税</t>
  </si>
  <si>
    <t>住民税</t>
  </si>
  <si>
    <t>税額合計</t>
  </si>
  <si>
    <t>総控除額</t>
  </si>
  <si>
    <t>集計</t>
  </si>
  <si>
    <t>振込支給額</t>
  </si>
  <si>
    <t>差引支給額</t>
  </si>
  <si>
    <t>1月1日～1月31日勤務分</t>
  </si>
  <si>
    <t>600×0</t>
  </si>
  <si>
    <t>500×0</t>
  </si>
  <si>
    <t>50（小6）×0</t>
  </si>
  <si>
    <t>100（高3）×0</t>
  </si>
  <si>
    <t>集団歩合手当</t>
  </si>
  <si>
    <t>12月1日～12月31日</t>
  </si>
  <si>
    <t>後藤克雄</t>
  </si>
  <si>
    <t>50（＋1名）×0</t>
  </si>
  <si>
    <t>受験生（小6）手当</t>
  </si>
  <si>
    <t>230（10分）×0</t>
  </si>
  <si>
    <t>1380（時間）×0</t>
  </si>
  <si>
    <t>1月1日～1月31日</t>
  </si>
  <si>
    <t>政谷知恵子</t>
  </si>
  <si>
    <t>勤怠項目</t>
  </si>
  <si>
    <t>2400（ｺﾏ）×0</t>
  </si>
  <si>
    <t>1800（時間）×0</t>
  </si>
  <si>
    <t>支給項目</t>
  </si>
  <si>
    <t>指導料(ｺﾏ給)</t>
  </si>
  <si>
    <t>指導料（分給）</t>
  </si>
  <si>
    <t>1840×0</t>
  </si>
  <si>
    <t>237（10分）×0</t>
  </si>
  <si>
    <t>100×2</t>
  </si>
  <si>
    <t>1424×1</t>
  </si>
  <si>
    <t>1900×2</t>
  </si>
  <si>
    <t>1425（60分）×0</t>
  </si>
  <si>
    <t>100（高3）×2</t>
  </si>
  <si>
    <t>綱嶋亨</t>
  </si>
  <si>
    <t>2700（ｺﾏ）×0</t>
  </si>
  <si>
    <t>2025（時間）×0</t>
  </si>
  <si>
    <t>2200（ｺﾏ）×4</t>
  </si>
  <si>
    <t>275（10分）×0</t>
  </si>
  <si>
    <t>100×4</t>
  </si>
  <si>
    <t>1050×4</t>
  </si>
  <si>
    <t>350×2</t>
  </si>
  <si>
    <t>0×0</t>
  </si>
  <si>
    <t>1650（時間）×0</t>
  </si>
  <si>
    <t>175×4</t>
  </si>
  <si>
    <t>2200（ｺﾏ）×6</t>
  </si>
  <si>
    <t>275（10分）×2</t>
  </si>
  <si>
    <t>213（10分）×0</t>
  </si>
  <si>
    <t>濱田旺次郎</t>
  </si>
  <si>
    <t>原口詞之</t>
  </si>
  <si>
    <t>218（10分）×0</t>
  </si>
  <si>
    <t>1305（時間）×0</t>
  </si>
  <si>
    <t>内村優</t>
  </si>
  <si>
    <t>208（10分）×0</t>
  </si>
  <si>
    <t>50×0</t>
  </si>
  <si>
    <t>1245（時間）×0</t>
  </si>
  <si>
    <t>半田久瑠実</t>
  </si>
  <si>
    <t>220（10分）×0</t>
  </si>
  <si>
    <t>1320（60分）×0</t>
  </si>
  <si>
    <t>半田楓</t>
  </si>
  <si>
    <t>223（10分）×0</t>
  </si>
  <si>
    <t>1338（時間）×0</t>
  </si>
  <si>
    <t>1308（時間）×0</t>
  </si>
  <si>
    <t>1150×0</t>
    <phoneticPr fontId="17"/>
  </si>
  <si>
    <t>0×1</t>
    <phoneticPr fontId="17"/>
  </si>
  <si>
    <t>副塾長手当</t>
    <rPh sb="0" eb="3">
      <t>フクジュクチョウ</t>
    </rPh>
    <rPh sb="3" eb="5">
      <t>テアテ</t>
    </rPh>
    <phoneticPr fontId="17"/>
  </si>
  <si>
    <t>1275（時間）×0</t>
    <phoneticPr fontId="17"/>
  </si>
  <si>
    <t>1050×0</t>
    <phoneticPr fontId="17"/>
  </si>
  <si>
    <t>一之谷寛</t>
    <rPh sb="0" eb="3">
      <t>イチノタニ</t>
    </rPh>
    <rPh sb="3" eb="4">
      <t>ヒロシ</t>
    </rPh>
    <phoneticPr fontId="17"/>
  </si>
  <si>
    <t>野村泰平</t>
    <rPh sb="0" eb="2">
      <t>ノムラ</t>
    </rPh>
    <rPh sb="2" eb="4">
      <t>タイヘイ</t>
    </rPh>
    <phoneticPr fontId="17"/>
  </si>
  <si>
    <t>中村和人</t>
    <rPh sb="0" eb="2">
      <t>ナカムラ</t>
    </rPh>
    <rPh sb="2" eb="4">
      <t>カズト</t>
    </rPh>
    <phoneticPr fontId="17"/>
  </si>
  <si>
    <t>1150×0</t>
    <phoneticPr fontId="17"/>
  </si>
  <si>
    <t>支給項目</t>
    <phoneticPr fontId="17"/>
  </si>
  <si>
    <t>1特別手当</t>
    <rPh sb="1" eb="3">
      <t>トクベツ</t>
    </rPh>
    <phoneticPr fontId="17"/>
  </si>
  <si>
    <t>0×0</t>
    <phoneticPr fontId="17"/>
  </si>
  <si>
    <t>受験生高校生手当</t>
    <rPh sb="3" eb="6">
      <t>コウコウセイ</t>
    </rPh>
    <phoneticPr fontId="17"/>
  </si>
  <si>
    <t>中紳一</t>
    <rPh sb="0" eb="1">
      <t>ナカ</t>
    </rPh>
    <rPh sb="1" eb="3">
      <t>シンイチ</t>
    </rPh>
    <phoneticPr fontId="17"/>
  </si>
  <si>
    <t>待機給</t>
    <rPh sb="0" eb="3">
      <t>タイキキュウ</t>
    </rPh>
    <phoneticPr fontId="17"/>
  </si>
  <si>
    <t>1000×0</t>
    <phoneticPr fontId="17"/>
  </si>
  <si>
    <t>200（受験生）×0</t>
    <rPh sb="4" eb="7">
      <t>ジュケンセイ</t>
    </rPh>
    <phoneticPr fontId="17"/>
  </si>
  <si>
    <t>200（高校生）×0</t>
    <rPh sb="4" eb="7">
      <t>コウコウセイ</t>
    </rPh>
    <phoneticPr fontId="17"/>
  </si>
  <si>
    <t>1000×0</t>
    <phoneticPr fontId="17"/>
  </si>
  <si>
    <t>1:特別手当</t>
    <rPh sb="2" eb="4">
      <t>トクベツ</t>
    </rPh>
    <phoneticPr fontId="17"/>
  </si>
  <si>
    <t>1150×0</t>
    <phoneticPr fontId="17"/>
  </si>
  <si>
    <t>1:特別手当</t>
    <rPh sb="2" eb="4">
      <t>トクベツ</t>
    </rPh>
    <rPh sb="4" eb="6">
      <t>テアテ</t>
    </rPh>
    <phoneticPr fontId="17"/>
  </si>
  <si>
    <t>0×0</t>
    <phoneticPr fontId="17"/>
  </si>
  <si>
    <t>特別手当</t>
    <rPh sb="0" eb="2">
      <t>トクベツ</t>
    </rPh>
    <phoneticPr fontId="17"/>
  </si>
  <si>
    <t>特別手当</t>
    <rPh sb="0" eb="2">
      <t>トクベツ</t>
    </rPh>
    <rPh sb="2" eb="4">
      <t>テアテ</t>
    </rPh>
    <phoneticPr fontId="17"/>
  </si>
  <si>
    <t>2000（ｺﾏ）×44</t>
    <phoneticPr fontId="17"/>
  </si>
  <si>
    <t>100（受験生）×9</t>
    <rPh sb="4" eb="7">
      <t>ジュケンセイ</t>
    </rPh>
    <phoneticPr fontId="17"/>
  </si>
  <si>
    <t>６月分</t>
    <rPh sb="1" eb="3">
      <t>ガツブン</t>
    </rPh>
    <phoneticPr fontId="17"/>
  </si>
  <si>
    <t>10時間特訓など</t>
    <rPh sb="2" eb="4">
      <t>ジカン</t>
    </rPh>
    <rPh sb="4" eb="6">
      <t>トックン</t>
    </rPh>
    <phoneticPr fontId="17"/>
  </si>
  <si>
    <t>200（受験生）×18</t>
    <rPh sb="4" eb="7">
      <t>ジュケンセイ</t>
    </rPh>
    <phoneticPr fontId="17"/>
  </si>
  <si>
    <t>200（受験生）×9</t>
    <rPh sb="4" eb="7">
      <t>ジュケンセイ</t>
    </rPh>
    <phoneticPr fontId="17"/>
  </si>
  <si>
    <t>200（受験生）×10</t>
    <rPh sb="4" eb="7">
      <t>ジュケンセイ</t>
    </rPh>
    <phoneticPr fontId="17"/>
  </si>
  <si>
    <t>100（高校生）×12</t>
    <rPh sb="4" eb="7">
      <t>コウコウセイ</t>
    </rPh>
    <phoneticPr fontId="17"/>
  </si>
  <si>
    <t>716×0</t>
    <phoneticPr fontId="17"/>
  </si>
  <si>
    <t>講師支給明細書</t>
    <rPh sb="0" eb="2">
      <t>コウシ</t>
    </rPh>
    <rPh sb="2" eb="4">
      <t>シキュウ</t>
    </rPh>
    <phoneticPr fontId="17"/>
  </si>
  <si>
    <t>1800×0</t>
    <phoneticPr fontId="17"/>
  </si>
  <si>
    <t>7月1日～7月31日</t>
  </si>
  <si>
    <t>1900（ｺﾏ）×23</t>
  </si>
  <si>
    <t>500×7</t>
  </si>
  <si>
    <t>100（受験生）×5</t>
  </si>
  <si>
    <t>100（高校生）×10</t>
  </si>
  <si>
    <t>500×13</t>
  </si>
  <si>
    <t>1152×11</t>
  </si>
  <si>
    <t>1523×15</t>
  </si>
  <si>
    <t>500×20</t>
  </si>
  <si>
    <t>1800×21</t>
  </si>
  <si>
    <t>200（受験生）×10</t>
  </si>
  <si>
    <t>500×9</t>
  </si>
  <si>
    <t>500×3</t>
  </si>
  <si>
    <t>1800×6</t>
  </si>
  <si>
    <t>200（受験生）×3</t>
  </si>
  <si>
    <t>200（高校生）×1</t>
  </si>
  <si>
    <t>1800×34</t>
  </si>
  <si>
    <t>200（高校生）×6</t>
  </si>
  <si>
    <t>500×10</t>
  </si>
  <si>
    <t>7月1日～7月31日勤務分</t>
  </si>
  <si>
    <t>1800（ｺﾏ）×14</t>
  </si>
  <si>
    <t>200（受験生）×6</t>
  </si>
  <si>
    <t>200（高校生）×3</t>
  </si>
  <si>
    <t>1800×10</t>
  </si>
  <si>
    <t>200（高校生）×8</t>
  </si>
  <si>
    <t>500×5</t>
  </si>
  <si>
    <t>1800（ｺﾏ）×26</t>
  </si>
  <si>
    <t>200（高校生）×11</t>
  </si>
  <si>
    <t>500×4</t>
  </si>
  <si>
    <t>1150×55</t>
  </si>
  <si>
    <t>2200（ｺﾏ）×45</t>
  </si>
  <si>
    <t>500×1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</si>
</sst>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9"/>
      <color theme="1"/>
      <name val="MS PGothic"/>
      <family val="2"/>
      <charset val="128"/>
    </font>
    <font>
      <sz val="12"/>
      <color theme="1"/>
      <name val="ＭＳ ゴシック"/>
      <family val="3"/>
      <charset val="128"/>
    </font>
    <font>
      <sz val="11"/>
      <name val="Calibri"/>
      <family val="2"/>
    </font>
    <font>
      <sz val="8"/>
      <color theme="1"/>
      <name val="ＭＳ ゴシック"/>
      <family val="3"/>
      <charset val="128"/>
    </font>
    <font>
      <sz val="15"/>
      <color theme="1"/>
      <name val="ＭＳ ゴシック"/>
      <family val="3"/>
      <charset val="128"/>
    </font>
    <font>
      <sz val="10"/>
      <color theme="1"/>
      <name val="MS PGothic"/>
      <family val="2"/>
      <charset val="128"/>
    </font>
    <font>
      <sz val="11"/>
      <color theme="1"/>
      <name val="游ゴシック"/>
    </font>
    <font>
      <sz val="8"/>
      <color rgb="FF3F3F3F"/>
      <name val="ＭＳ ゴシック"/>
      <family val="3"/>
      <charset val="128"/>
    </font>
    <font>
      <sz val="7"/>
      <color rgb="FF3F3F3F"/>
      <name val="ＭＳ ゴシック"/>
      <family val="3"/>
      <charset val="128"/>
    </font>
    <font>
      <sz val="7"/>
      <color theme="1"/>
      <name val="MS PGothic"/>
      <family val="2"/>
      <charset val="128"/>
    </font>
    <font>
      <sz val="9"/>
      <color theme="1"/>
      <name val="ＭＳ ゴシック"/>
      <family val="3"/>
      <charset val="128"/>
    </font>
    <font>
      <sz val="9"/>
      <color theme="0"/>
      <name val="MS PGothic"/>
      <family val="2"/>
      <charset val="128"/>
    </font>
    <font>
      <sz val="7"/>
      <color rgb="FF3F3F3F"/>
      <name val="MS PGothic"/>
      <family val="2"/>
      <charset val="128"/>
    </font>
    <font>
      <sz val="6"/>
      <color rgb="FF3F3F3F"/>
      <name val="MS PGothic"/>
      <family val="2"/>
      <charset val="128"/>
    </font>
    <font>
      <sz val="11"/>
      <color rgb="FF3F3F3F"/>
      <name val="MS PGothic"/>
      <family val="2"/>
      <charset val="128"/>
    </font>
    <font>
      <sz val="9"/>
      <color rgb="FF3F3F3F"/>
      <name val="ＭＳ ゴシック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38" fontId="13" fillId="0" borderId="18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shrinkToFit="1"/>
    </xf>
    <xf numFmtId="0" fontId="14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7" fillId="0" borderId="0" xfId="0" applyFont="1" applyAlignment="1">
      <alignment vertical="center" textRotation="255"/>
    </xf>
    <xf numFmtId="0" fontId="13" fillId="0" borderId="2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2" xfId="0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38" fontId="13" fillId="0" borderId="17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 textRotation="255" wrapText="1"/>
    </xf>
    <xf numFmtId="38" fontId="13" fillId="0" borderId="18" xfId="0" applyNumberFormat="1" applyFont="1" applyBorder="1" applyAlignment="1">
      <alignment vertical="center"/>
    </xf>
    <xf numFmtId="38" fontId="13" fillId="0" borderId="19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38" fontId="13" fillId="0" borderId="18" xfId="0" applyNumberFormat="1" applyFont="1" applyBorder="1" applyAlignment="1">
      <alignment vertical="center" shrinkToFit="1"/>
    </xf>
    <xf numFmtId="0" fontId="13" fillId="0" borderId="16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38" fontId="13" fillId="0" borderId="16" xfId="0" applyNumberFormat="1" applyFont="1" applyBorder="1" applyAlignment="1">
      <alignment horizontal="right" vertical="center"/>
    </xf>
    <xf numFmtId="0" fontId="3" fillId="0" borderId="17" xfId="0" applyFont="1" applyBorder="1" applyAlignment="1">
      <alignment vertical="center"/>
    </xf>
    <xf numFmtId="0" fontId="12" fillId="2" borderId="10" xfId="0" applyFont="1" applyFill="1" applyBorder="1" applyAlignment="1">
      <alignment horizontal="center" vertical="center" textRotation="255" shrinkToFit="1"/>
    </xf>
    <xf numFmtId="0" fontId="3" fillId="0" borderId="15" xfId="0" applyFont="1" applyBorder="1" applyAlignment="1">
      <alignment vertical="center"/>
    </xf>
    <xf numFmtId="0" fontId="9" fillId="0" borderId="11" xfId="0" applyFont="1" applyBorder="1" applyAlignment="1">
      <alignment horizontal="center" vertical="center" shrinkToFit="1"/>
    </xf>
    <xf numFmtId="38" fontId="9" fillId="0" borderId="16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12" fillId="2" borderId="10" xfId="0" applyFont="1" applyFill="1" applyBorder="1" applyAlignment="1">
      <alignment horizontal="center" vertical="center" textRotation="255" wrapText="1"/>
    </xf>
    <xf numFmtId="38" fontId="13" fillId="0" borderId="16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0</xdr:rowOff>
    </xdr:from>
    <xdr:ext cx="2257425" cy="800100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0D29BDA8-509E-45D9-BF57-36A4C4369884}"/>
            </a:ext>
          </a:extLst>
        </xdr:cNvPr>
        <xdr:cNvSpPr/>
      </xdr:nvSpPr>
      <xdr:spPr>
        <a:xfrm>
          <a:off x="4757738" y="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0</xdr:row>
      <xdr:rowOff>0</xdr:rowOff>
    </xdr:from>
    <xdr:ext cx="2257425" cy="1128712"/>
    <xdr:sp macro="" textlink="">
      <xdr:nvSpPr>
        <xdr:cNvPr id="3" name="Shape 10">
          <a:extLst>
            <a:ext uri="{FF2B5EF4-FFF2-40B4-BE49-F238E27FC236}">
              <a16:creationId xmlns:a16="http://schemas.microsoft.com/office/drawing/2014/main" id="{7B544E9F-7DF5-42F6-8610-ED82F30D19DE}"/>
            </a:ext>
          </a:extLst>
        </xdr:cNvPr>
        <xdr:cNvSpPr/>
      </xdr:nvSpPr>
      <xdr:spPr>
        <a:xfrm>
          <a:off x="4757738" y="0"/>
          <a:ext cx="2257425" cy="11287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0</xdr:rowOff>
    </xdr:from>
    <xdr:ext cx="2257425" cy="800100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B66899CF-82AA-4B14-9A02-C1B69E4D6912}"/>
            </a:ext>
          </a:extLst>
        </xdr:cNvPr>
        <xdr:cNvSpPr/>
      </xdr:nvSpPr>
      <xdr:spPr>
        <a:xfrm>
          <a:off x="4757738" y="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0</xdr:row>
      <xdr:rowOff>0</xdr:rowOff>
    </xdr:from>
    <xdr:ext cx="2257425" cy="1128712"/>
    <xdr:sp macro="" textlink="">
      <xdr:nvSpPr>
        <xdr:cNvPr id="3" name="Shape 10">
          <a:extLst>
            <a:ext uri="{FF2B5EF4-FFF2-40B4-BE49-F238E27FC236}">
              <a16:creationId xmlns:a16="http://schemas.microsoft.com/office/drawing/2014/main" id="{6E77F2D8-2332-4C1A-B4E0-ECE54EEA1E6B}"/>
            </a:ext>
          </a:extLst>
        </xdr:cNvPr>
        <xdr:cNvSpPr/>
      </xdr:nvSpPr>
      <xdr:spPr>
        <a:xfrm>
          <a:off x="4757738" y="0"/>
          <a:ext cx="2257425" cy="11287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0</xdr:rowOff>
    </xdr:from>
    <xdr:ext cx="2257425" cy="8001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0</xdr:row>
      <xdr:rowOff>0</xdr:rowOff>
    </xdr:from>
    <xdr:ext cx="2257425" cy="1128712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757738" y="0"/>
          <a:ext cx="2257425" cy="11287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19050</xdr:rowOff>
    </xdr:from>
    <xdr:ext cx="2257425" cy="8001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t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23</xdr:row>
      <xdr:rowOff>19050</xdr:rowOff>
    </xdr:from>
    <xdr:ext cx="2257425" cy="8001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t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19050</xdr:rowOff>
    </xdr:from>
    <xdr:ext cx="2257425" cy="8001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23</xdr:row>
      <xdr:rowOff>19050</xdr:rowOff>
    </xdr:from>
    <xdr:ext cx="2257425" cy="8001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66675</xdr:rowOff>
    </xdr:from>
    <xdr:ext cx="2257425" cy="9906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4757738" y="66675"/>
          <a:ext cx="2257425" cy="9906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76200</xdr:rowOff>
    </xdr:from>
    <xdr:ext cx="2257425" cy="9810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4757738" y="76200"/>
          <a:ext cx="2257425" cy="9810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80963</xdr:rowOff>
    </xdr:from>
    <xdr:ext cx="2257425" cy="976312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757738" y="80963"/>
          <a:ext cx="2257425" cy="9763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19049</xdr:rowOff>
    </xdr:from>
    <xdr:ext cx="2257425" cy="900113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4757738" y="19049"/>
          <a:ext cx="2257425" cy="900113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428625</xdr:colOff>
      <xdr:row>0</xdr:row>
      <xdr:rowOff>95250</xdr:rowOff>
    </xdr:from>
    <xdr:ext cx="2257425" cy="9525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4795838" y="95250"/>
          <a:ext cx="2257425" cy="9525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47625</xdr:rowOff>
    </xdr:from>
    <xdr:ext cx="2257425" cy="9906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4757738" y="47625"/>
          <a:ext cx="2257425" cy="9906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9C65-E025-407F-B80A-40354304A23F}">
  <sheetPr>
    <pageSetUpPr fitToPage="1"/>
  </sheetPr>
  <dimension ref="A1:L950"/>
  <sheetViews>
    <sheetView workbookViewId="0">
      <selection activeCell="I12" sqref="I12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.75" customHeight="1"/>
    <row r="3" spans="1:12" ht="18.75" customHeight="1" thickBot="1">
      <c r="A3" s="47">
        <v>2023</v>
      </c>
      <c r="B3" s="48"/>
      <c r="C3" s="2" t="s">
        <v>0</v>
      </c>
      <c r="D3" s="3"/>
      <c r="E3" s="3" t="s">
        <v>127</v>
      </c>
    </row>
    <row r="4" spans="1:12" ht="18.75" customHeight="1">
      <c r="B4" s="49" t="s">
        <v>2</v>
      </c>
      <c r="C4" s="50"/>
      <c r="D4" s="50"/>
      <c r="E4" s="50"/>
      <c r="F4" s="51"/>
      <c r="H4" s="4"/>
      <c r="I4" s="5"/>
      <c r="J4" s="6"/>
    </row>
    <row r="5" spans="1:12" ht="18.75" customHeight="1">
      <c r="B5" s="52"/>
      <c r="C5" s="48"/>
      <c r="D5" s="53" t="s">
        <v>3</v>
      </c>
      <c r="E5" s="48"/>
      <c r="F5" s="7"/>
      <c r="G5" s="41" t="s">
        <v>4</v>
      </c>
      <c r="H5" s="9"/>
    </row>
    <row r="6" spans="1:12" ht="18.75" customHeight="1" thickBot="1">
      <c r="B6" s="54" t="s">
        <v>5</v>
      </c>
      <c r="C6" s="55"/>
      <c r="D6" s="56" t="s">
        <v>98</v>
      </c>
      <c r="E6" s="55"/>
      <c r="F6" s="10" t="s">
        <v>6</v>
      </c>
      <c r="G6" s="11">
        <v>8</v>
      </c>
      <c r="J6" s="12"/>
    </row>
    <row r="7" spans="1:12" ht="18.75" customHeight="1">
      <c r="B7" s="13"/>
      <c r="J7" s="12"/>
    </row>
    <row r="8" spans="1:12" ht="18.75" customHeight="1">
      <c r="A8" s="28"/>
      <c r="B8" s="63" t="s">
        <v>100</v>
      </c>
      <c r="C8" s="65" t="s">
        <v>10</v>
      </c>
      <c r="D8" s="60"/>
      <c r="E8" s="29" t="s">
        <v>11</v>
      </c>
      <c r="F8" s="15" t="s">
        <v>101</v>
      </c>
      <c r="G8" s="30" t="s">
        <v>103</v>
      </c>
      <c r="H8" s="15" t="s">
        <v>14</v>
      </c>
      <c r="I8" s="45" t="s">
        <v>15</v>
      </c>
      <c r="J8" s="44" t="s">
        <v>105</v>
      </c>
      <c r="K8" s="46" t="s">
        <v>17</v>
      </c>
      <c r="L8" s="16"/>
    </row>
    <row r="9" spans="1:12" ht="18.75" customHeight="1">
      <c r="B9" s="64"/>
      <c r="C9" s="66">
        <f>LEFT(C10,FIND("（ｺﾏ）×",C10)-1)*RIGHT(C10,LEN(C10)-FIND("×",C10))+IF(C11&lt;&gt;"",LEFT(C11,FIND("×",C11)-1)*RIGHT(C11,LEN(C11)-FIND("×",C11)),0)</f>
        <v>43700</v>
      </c>
      <c r="D9" s="62"/>
      <c r="E9" s="17">
        <f>LEFT(E10,FIND("（10分）×",E10)-1)*RIGHT(E10,LEN(E10)-FIND("×",E10))+LEFT(E11,FIND("（時間）×",E11)-1)*RIGHT(E11,LEN(E11)-FIND("×",E11))</f>
        <v>0</v>
      </c>
      <c r="F9" s="17">
        <f>LEFT(F10,FIND("×",F10)-1)*RIGHT(F10,LEN(F10)-FIND("×",F10))+IF(F11&lt;&gt;"",LEFT(F11,FIND("×",F11)-1)*RIGHT(F11,LEN(F11)-FIND("×",F11)),0)</f>
        <v>0</v>
      </c>
      <c r="G9" s="17">
        <f>LEFT(G10,FIND("（受験生）×",G10)-1)*RIGHT(G10,LEN(G10)-FIND("×",G10))+LEFT(G11,FIND("（高校生）×",G11)-1)*RIGHT(G11,LEN(G11)-FIND("×",G11))</f>
        <v>2100</v>
      </c>
      <c r="H9" s="17">
        <f t="shared" ref="H9:K9" si="0">IF(H8&lt;&gt;"",LEFT(H10,FIND("×",H10)-1)*RIGHT(H10,LEN(H10)-FIND("×",H10))+IF(H11&lt;&gt;"",LEFT(H11,FIND("×",H11)-1)*RIGHT(H11,LEN(H11)-FIND("×",H11)),0),"")</f>
        <v>0</v>
      </c>
      <c r="I9" s="17">
        <f t="shared" si="0"/>
        <v>3500</v>
      </c>
      <c r="J9" s="17"/>
      <c r="K9" s="17">
        <f t="shared" si="0"/>
        <v>0</v>
      </c>
      <c r="L9" s="38"/>
    </row>
    <row r="10" spans="1:12" ht="18.75" customHeight="1">
      <c r="B10" s="64"/>
      <c r="C10" s="67" t="s">
        <v>128</v>
      </c>
      <c r="D10" s="68"/>
      <c r="E10" s="22" t="s">
        <v>45</v>
      </c>
      <c r="F10" s="31" t="s">
        <v>102</v>
      </c>
      <c r="G10" s="32" t="s">
        <v>117</v>
      </c>
      <c r="H10" s="31" t="s">
        <v>92</v>
      </c>
      <c r="I10" s="33" t="s">
        <v>19</v>
      </c>
      <c r="J10" s="31" t="s">
        <v>106</v>
      </c>
      <c r="K10" s="33" t="s">
        <v>124</v>
      </c>
      <c r="L10" s="34" t="s">
        <v>20</v>
      </c>
    </row>
    <row r="11" spans="1:12" ht="18.75" customHeight="1">
      <c r="B11" s="58"/>
      <c r="C11" s="69"/>
      <c r="D11" s="70"/>
      <c r="E11" s="24" t="s">
        <v>46</v>
      </c>
      <c r="F11" s="35"/>
      <c r="G11" s="25" t="s">
        <v>123</v>
      </c>
      <c r="H11" s="20"/>
      <c r="I11" s="25" t="s">
        <v>129</v>
      </c>
      <c r="J11" s="35"/>
      <c r="K11" s="25"/>
      <c r="L11" s="36">
        <f>SUM(C9:L9)</f>
        <v>49300</v>
      </c>
    </row>
    <row r="12" spans="1:12" ht="18.75" customHeight="1">
      <c r="B12" s="37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8.75" customHeight="1">
      <c r="B13" s="71" t="s">
        <v>22</v>
      </c>
      <c r="C13" s="59" t="s">
        <v>23</v>
      </c>
      <c r="D13" s="60"/>
      <c r="E13" s="14" t="s">
        <v>24</v>
      </c>
      <c r="F13" s="14" t="s">
        <v>25</v>
      </c>
      <c r="G13" s="14"/>
      <c r="H13" s="15" t="s">
        <v>26</v>
      </c>
      <c r="I13" s="14" t="s">
        <v>27</v>
      </c>
      <c r="J13" s="15" t="s">
        <v>28</v>
      </c>
      <c r="K13" s="14" t="s">
        <v>29</v>
      </c>
      <c r="L13" s="16" t="s">
        <v>30</v>
      </c>
    </row>
    <row r="14" spans="1:12" ht="18.75" customHeight="1">
      <c r="B14" s="64"/>
      <c r="C14" s="72">
        <v>0</v>
      </c>
      <c r="D14" s="62"/>
      <c r="E14" s="38">
        <v>0</v>
      </c>
      <c r="F14" s="39">
        <v>0</v>
      </c>
      <c r="G14" s="38"/>
      <c r="H14" s="39">
        <f>SUM(C14:G14)</f>
        <v>0</v>
      </c>
      <c r="I14" s="38">
        <f>L11-K9-H14</f>
        <v>49300</v>
      </c>
      <c r="J14" s="39">
        <v>0</v>
      </c>
      <c r="K14" s="38">
        <v>0</v>
      </c>
      <c r="L14" s="36">
        <f>SUM(J14:K14)</f>
        <v>0</v>
      </c>
    </row>
    <row r="15" spans="1:12" ht="18.75" customHeight="1">
      <c r="B15" s="64"/>
      <c r="C15" s="59"/>
      <c r="D15" s="60"/>
      <c r="E15" s="14"/>
      <c r="F15" s="15"/>
      <c r="G15" s="14"/>
      <c r="H15" s="15"/>
      <c r="I15" s="14"/>
      <c r="J15" s="15"/>
      <c r="K15" s="14"/>
      <c r="L15" s="16" t="s">
        <v>31</v>
      </c>
    </row>
    <row r="16" spans="1:12" ht="18.75" customHeight="1">
      <c r="B16" s="58"/>
      <c r="C16" s="66"/>
      <c r="D16" s="62"/>
      <c r="E16" s="38"/>
      <c r="F16" s="39"/>
      <c r="G16" s="38"/>
      <c r="H16" s="39"/>
      <c r="I16" s="38"/>
      <c r="J16" s="39"/>
      <c r="K16" s="38"/>
      <c r="L16" s="36">
        <f>H14+L14</f>
        <v>0</v>
      </c>
    </row>
    <row r="17" spans="2:12" ht="18.75" customHeight="1"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2:12" ht="18.75" customHeight="1">
      <c r="B18" s="57" t="s">
        <v>32</v>
      </c>
      <c r="C18" s="59" t="s">
        <v>20</v>
      </c>
      <c r="D18" s="60"/>
      <c r="E18" s="14" t="s">
        <v>31</v>
      </c>
      <c r="F18" s="15"/>
      <c r="G18" s="14"/>
      <c r="H18" s="15"/>
      <c r="I18" s="14"/>
      <c r="J18" s="15"/>
      <c r="K18" s="14" t="s">
        <v>33</v>
      </c>
      <c r="L18" s="16" t="s">
        <v>34</v>
      </c>
    </row>
    <row r="19" spans="2:12" ht="18.75" customHeight="1">
      <c r="B19" s="58"/>
      <c r="C19" s="61">
        <f>L11</f>
        <v>49300</v>
      </c>
      <c r="D19" s="62"/>
      <c r="E19" s="38">
        <f>L16</f>
        <v>0</v>
      </c>
      <c r="F19" s="39"/>
      <c r="G19" s="38"/>
      <c r="H19" s="39"/>
      <c r="I19" s="38"/>
      <c r="J19" s="39"/>
      <c r="K19" s="38">
        <f>L19-J19</f>
        <v>49300</v>
      </c>
      <c r="L19" s="36">
        <f>C19-E19</f>
        <v>49300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</sheetData>
  <mergeCells count="19"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  <mergeCell ref="A3:B3"/>
    <mergeCell ref="B4:F4"/>
    <mergeCell ref="B5:C5"/>
    <mergeCell ref="D5:E5"/>
    <mergeCell ref="B6:C6"/>
    <mergeCell ref="D6:E6"/>
  </mergeCells>
  <phoneticPr fontId="17"/>
  <pageMargins left="0.7" right="0.7" top="0.75" bottom="0.75" header="0.3" footer="0.3"/>
  <pageSetup scale="7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22AB-59D6-47D9-8C22-7BFCFB3BA265}">
  <sheetPr>
    <pageSetUpPr fitToPage="1"/>
  </sheetPr>
  <dimension ref="A1:L950"/>
  <sheetViews>
    <sheetView tabSelected="1" zoomScale="99" workbookViewId="0">
      <selection activeCell="P9" sqref="P9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.75" customHeight="1"/>
    <row r="3" spans="1:12" ht="18.75" customHeight="1" thickBot="1">
      <c r="A3" s="47">
        <v>2023</v>
      </c>
      <c r="B3" s="48"/>
      <c r="C3" s="2" t="s">
        <v>0</v>
      </c>
      <c r="D3" s="3"/>
      <c r="E3" s="3" t="s">
        <v>127</v>
      </c>
    </row>
    <row r="4" spans="1:12" ht="18.75" customHeight="1">
      <c r="B4" s="49" t="s">
        <v>125</v>
      </c>
      <c r="C4" s="50"/>
      <c r="D4" s="50"/>
      <c r="E4" s="50"/>
      <c r="F4" s="51"/>
      <c r="H4" s="4"/>
      <c r="I4" s="5"/>
      <c r="J4" s="6"/>
    </row>
    <row r="5" spans="1:12" ht="18.75" customHeight="1">
      <c r="B5" s="52"/>
      <c r="C5" s="48"/>
      <c r="D5" s="53" t="s">
        <v>3</v>
      </c>
      <c r="E5" s="48"/>
      <c r="F5" s="7"/>
      <c r="G5" s="41" t="s">
        <v>4</v>
      </c>
      <c r="H5" s="9"/>
    </row>
    <row r="6" spans="1:12" ht="18.75" customHeight="1" thickBot="1">
      <c r="B6" s="54" t="s">
        <v>5</v>
      </c>
      <c r="C6" s="55"/>
      <c r="D6" s="56" t="s">
        <v>104</v>
      </c>
      <c r="E6" s="55"/>
      <c r="F6" s="10" t="s">
        <v>6</v>
      </c>
      <c r="G6" s="11">
        <v>15</v>
      </c>
      <c r="J6" s="12"/>
    </row>
    <row r="7" spans="1:12" ht="18.75" customHeight="1">
      <c r="B7" s="13"/>
      <c r="J7" s="12"/>
    </row>
    <row r="8" spans="1:12" ht="18.75" customHeight="1">
      <c r="A8" s="28"/>
      <c r="B8" s="63" t="s">
        <v>100</v>
      </c>
      <c r="C8" s="65" t="s">
        <v>10</v>
      </c>
      <c r="D8" s="60"/>
      <c r="E8" s="29" t="s">
        <v>11</v>
      </c>
      <c r="F8" s="15" t="s">
        <v>101</v>
      </c>
      <c r="G8" s="30" t="s">
        <v>103</v>
      </c>
      <c r="H8" s="15" t="s">
        <v>14</v>
      </c>
      <c r="I8" s="45" t="s">
        <v>15</v>
      </c>
      <c r="J8" s="44" t="s">
        <v>105</v>
      </c>
      <c r="K8" s="46" t="s">
        <v>17</v>
      </c>
      <c r="L8" s="16"/>
    </row>
    <row r="9" spans="1:12" ht="18.75" customHeight="1">
      <c r="B9" s="64"/>
      <c r="C9" s="66">
        <f>LEFT(C10,FIND("（ｺﾏ）×",C10)-1)*RIGHT(C10,LEN(C10)-FIND("×",C10))+IF(C11&lt;&gt;"",LEFT(C11,FIND("×",C11)-1)*RIGHT(C11,LEN(C11)-FIND("×",C11)),0)</f>
        <v>88000</v>
      </c>
      <c r="D9" s="62"/>
      <c r="E9" s="17">
        <f>LEFT(E10,FIND("（10分）×",E10)-1)*RIGHT(E10,LEN(E10)-FIND("×",E10))+LEFT(E11,FIND("（時間）×",E11)-1)*RIGHT(E11,LEN(E11)-FIND("×",E11))</f>
        <v>0</v>
      </c>
      <c r="F9" s="17">
        <f>LEFT(F10,FIND("×",F10)-1)*RIGHT(F10,LEN(F10)-FIND("×",F10))+IF(F11&lt;&gt;"",LEFT(F11,FIND("×",F11)-1)*RIGHT(F11,LEN(F11)-FIND("×",F11)),0)</f>
        <v>0</v>
      </c>
      <c r="G9" s="17">
        <f>LEFT(G10,FIND("（受験生）×",G10)-1)*RIGHT(G10,LEN(G10)-FIND("×",G10))+LEFT(G11,FIND("（高校生）×",G11)-1)*RIGHT(G11,LEN(G11)-FIND("×",G11))</f>
        <v>1500</v>
      </c>
      <c r="H9" s="17">
        <f t="shared" ref="H9:K9" si="0">IF(H8&lt;&gt;"",LEFT(H10,FIND("×",H10)-1)*RIGHT(H10,LEN(H10)-FIND("×",H10))+IF(H11&lt;&gt;"",LEFT(H11,FIND("×",H11)-1)*RIGHT(H11,LEN(H11)-FIND("×",H11)),0),"")</f>
        <v>500</v>
      </c>
      <c r="I9" s="17">
        <f t="shared" si="0"/>
        <v>6500</v>
      </c>
      <c r="J9" s="17">
        <v>0</v>
      </c>
      <c r="K9" s="17">
        <f t="shared" si="0"/>
        <v>22845</v>
      </c>
      <c r="L9" s="38"/>
    </row>
    <row r="10" spans="1:12" ht="18.75" customHeight="1">
      <c r="B10" s="64"/>
      <c r="C10" s="67" t="s">
        <v>116</v>
      </c>
      <c r="D10" s="68"/>
      <c r="E10" s="22" t="s">
        <v>45</v>
      </c>
      <c r="F10" s="31" t="s">
        <v>102</v>
      </c>
      <c r="G10" s="32" t="s">
        <v>130</v>
      </c>
      <c r="H10" s="31" t="s">
        <v>158</v>
      </c>
      <c r="I10" s="33" t="s">
        <v>19</v>
      </c>
      <c r="J10" s="31" t="s">
        <v>106</v>
      </c>
      <c r="K10" s="33" t="s">
        <v>134</v>
      </c>
      <c r="L10" s="34" t="s">
        <v>20</v>
      </c>
    </row>
    <row r="11" spans="1:12" ht="18.75" customHeight="1">
      <c r="B11" s="58"/>
      <c r="C11" s="69"/>
      <c r="D11" s="70"/>
      <c r="E11" s="24" t="s">
        <v>46</v>
      </c>
      <c r="F11" s="35"/>
      <c r="G11" s="25" t="s">
        <v>131</v>
      </c>
      <c r="H11" s="20"/>
      <c r="I11" s="25" t="s">
        <v>132</v>
      </c>
      <c r="J11" s="35"/>
      <c r="K11" s="25"/>
      <c r="L11" s="36">
        <f>SUM(C9:L9)</f>
        <v>119345</v>
      </c>
    </row>
    <row r="12" spans="1:12" ht="18.75" customHeight="1">
      <c r="B12" s="37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8.75" customHeight="1">
      <c r="B13" s="71" t="s">
        <v>22</v>
      </c>
      <c r="C13" s="59" t="s">
        <v>23</v>
      </c>
      <c r="D13" s="60"/>
      <c r="E13" s="14" t="s">
        <v>24</v>
      </c>
      <c r="F13" s="14" t="s">
        <v>25</v>
      </c>
      <c r="G13" s="14"/>
      <c r="H13" s="15" t="s">
        <v>26</v>
      </c>
      <c r="I13" s="14" t="s">
        <v>27</v>
      </c>
      <c r="J13" s="15" t="s">
        <v>28</v>
      </c>
      <c r="K13" s="14" t="s">
        <v>29</v>
      </c>
      <c r="L13" s="16" t="s">
        <v>30</v>
      </c>
    </row>
    <row r="14" spans="1:12" ht="18.75" customHeight="1">
      <c r="B14" s="64"/>
      <c r="C14" s="72">
        <v>0</v>
      </c>
      <c r="D14" s="62"/>
      <c r="E14" s="38">
        <v>0</v>
      </c>
      <c r="F14" s="39">
        <v>0</v>
      </c>
      <c r="G14" s="38"/>
      <c r="H14" s="39">
        <f>SUM(C14:G14)</f>
        <v>0</v>
      </c>
      <c r="I14" s="38">
        <f>L11-K9-H14</f>
        <v>96500</v>
      </c>
      <c r="J14" s="39">
        <v>540</v>
      </c>
      <c r="K14" s="38">
        <v>0</v>
      </c>
      <c r="L14" s="36">
        <f>SUM(J14:K14)</f>
        <v>540</v>
      </c>
    </row>
    <row r="15" spans="1:12" ht="18.75" customHeight="1">
      <c r="B15" s="64"/>
      <c r="C15" s="59"/>
      <c r="D15" s="60"/>
      <c r="E15" s="14"/>
      <c r="F15" s="15"/>
      <c r="G15" s="14"/>
      <c r="H15" s="15"/>
      <c r="I15" s="14"/>
      <c r="J15" s="15"/>
      <c r="K15" s="14"/>
      <c r="L15" s="16" t="s">
        <v>31</v>
      </c>
    </row>
    <row r="16" spans="1:12" ht="18.75" customHeight="1">
      <c r="B16" s="58"/>
      <c r="C16" s="66"/>
      <c r="D16" s="62"/>
      <c r="E16" s="38"/>
      <c r="F16" s="39"/>
      <c r="G16" s="38"/>
      <c r="H16" s="39"/>
      <c r="I16" s="38"/>
      <c r="J16" s="39"/>
      <c r="K16" s="38"/>
      <c r="L16" s="36">
        <f>H14+L14</f>
        <v>540</v>
      </c>
    </row>
    <row r="17" spans="2:12" ht="18.75" customHeight="1"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2:12" ht="18.75" customHeight="1">
      <c r="B18" s="57" t="s">
        <v>32</v>
      </c>
      <c r="C18" s="59" t="s">
        <v>20</v>
      </c>
      <c r="D18" s="60"/>
      <c r="E18" s="14" t="s">
        <v>31</v>
      </c>
      <c r="F18" s="15"/>
      <c r="G18" s="14"/>
      <c r="H18" s="15"/>
      <c r="I18" s="14"/>
      <c r="J18" s="15"/>
      <c r="K18" s="14" t="s">
        <v>33</v>
      </c>
      <c r="L18" s="16" t="s">
        <v>34</v>
      </c>
    </row>
    <row r="19" spans="2:12" ht="18.75" customHeight="1">
      <c r="B19" s="58"/>
      <c r="C19" s="61">
        <f>L11</f>
        <v>119345</v>
      </c>
      <c r="D19" s="62"/>
      <c r="E19" s="38">
        <f>L16</f>
        <v>540</v>
      </c>
      <c r="F19" s="39"/>
      <c r="G19" s="38"/>
      <c r="H19" s="39"/>
      <c r="I19" s="38"/>
      <c r="J19" s="39"/>
      <c r="K19" s="38">
        <f>L19-J19</f>
        <v>118805</v>
      </c>
      <c r="L19" s="36">
        <f>C19-E19</f>
        <v>118805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</sheetData>
  <mergeCells count="19"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  <mergeCell ref="A3:B3"/>
    <mergeCell ref="B4:F4"/>
    <mergeCell ref="B5:C5"/>
    <mergeCell ref="D5:E5"/>
    <mergeCell ref="B6:C6"/>
    <mergeCell ref="D6:E6"/>
  </mergeCells>
  <phoneticPr fontId="17"/>
  <pageMargins left="0.7" right="0.7" top="0.75" bottom="0.75" header="0.3" footer="0.3"/>
  <pageSetup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50"/>
  <sheetViews>
    <sheetView workbookViewId="0">
      <selection activeCell="J15" sqref="J15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.75" customHeight="1"/>
    <row r="3" spans="1:12" ht="18.75" customHeight="1">
      <c r="A3" s="47">
        <v>2023</v>
      </c>
      <c r="B3" s="48"/>
      <c r="C3" s="2" t="s">
        <v>0</v>
      </c>
      <c r="D3" s="3"/>
      <c r="E3" s="3" t="s">
        <v>127</v>
      </c>
    </row>
    <row r="4" spans="1:12" ht="18.75" customHeight="1">
      <c r="B4" s="49" t="s">
        <v>2</v>
      </c>
      <c r="C4" s="50"/>
      <c r="D4" s="50"/>
      <c r="E4" s="50"/>
      <c r="F4" s="51"/>
      <c r="H4" s="4"/>
      <c r="I4" s="5"/>
      <c r="J4" s="6"/>
    </row>
    <row r="5" spans="1:12" ht="18.75" customHeight="1">
      <c r="B5" s="52"/>
      <c r="C5" s="48"/>
      <c r="D5" s="53" t="s">
        <v>3</v>
      </c>
      <c r="E5" s="48"/>
      <c r="F5" s="7"/>
      <c r="G5" s="41" t="s">
        <v>4</v>
      </c>
      <c r="H5" s="9"/>
    </row>
    <row r="6" spans="1:12" ht="18.75" customHeight="1">
      <c r="B6" s="54" t="s">
        <v>5</v>
      </c>
      <c r="C6" s="55"/>
      <c r="D6" s="56" t="s">
        <v>42</v>
      </c>
      <c r="E6" s="55"/>
      <c r="F6" s="10" t="s">
        <v>6</v>
      </c>
      <c r="G6" s="11">
        <v>11</v>
      </c>
      <c r="J6" s="12"/>
    </row>
    <row r="7" spans="1:12" ht="18.75" customHeight="1">
      <c r="B7" s="13"/>
      <c r="J7" s="12"/>
    </row>
    <row r="8" spans="1:12" ht="18.75" customHeight="1">
      <c r="A8" s="28"/>
      <c r="B8" s="63" t="s">
        <v>100</v>
      </c>
      <c r="C8" s="65" t="s">
        <v>10</v>
      </c>
      <c r="D8" s="60"/>
      <c r="E8" s="29" t="s">
        <v>11</v>
      </c>
      <c r="F8" s="15" t="s">
        <v>101</v>
      </c>
      <c r="G8" s="30" t="s">
        <v>103</v>
      </c>
      <c r="H8" s="15" t="s">
        <v>14</v>
      </c>
      <c r="I8" s="14" t="s">
        <v>15</v>
      </c>
      <c r="J8" s="14" t="s">
        <v>93</v>
      </c>
      <c r="K8" s="14" t="s">
        <v>17</v>
      </c>
      <c r="L8" s="16"/>
    </row>
    <row r="9" spans="1:12" ht="18.75" customHeight="1">
      <c r="B9" s="64"/>
      <c r="C9" s="66">
        <f>LEFT(C10,FIND("（ｺﾏ）×",C10)-1)*RIGHT(C10,LEN(C10)-FIND("×",C10))+IF(C11&lt;&gt;"",LEFT(C11,FIND("×",C11)-1)*RIGHT(C11,LEN(C11)-FIND("×",C11)),0)</f>
        <v>99000</v>
      </c>
      <c r="D9" s="62"/>
      <c r="E9" s="17">
        <f>LEFT(E10,FIND("（10分）×",E10)-1)*RIGHT(E10,LEN(E10)-FIND("×",E10))+LEFT(E11,FIND("（時間）×",E11)-1)*RIGHT(E11,LEN(E11)-FIND("×",E11))</f>
        <v>0</v>
      </c>
      <c r="F9" s="17">
        <v>0</v>
      </c>
      <c r="G9" s="17"/>
      <c r="H9" s="17">
        <f t="shared" ref="H9:K9" si="0">IF(H8&lt;&gt;"",LEFT(H10,FIND("×",H10)-1)*RIGHT(H10,LEN(H10)-FIND("×",H10))+IF(H11&lt;&gt;"",LEFT(H11,FIND("×",H11)-1)*RIGHT(H11,LEN(H11)-FIND("×",H11)),0),"")</f>
        <v>0</v>
      </c>
      <c r="I9" s="17">
        <f t="shared" si="0"/>
        <v>10000</v>
      </c>
      <c r="J9" s="17">
        <v>30000</v>
      </c>
      <c r="K9" s="17">
        <f t="shared" si="0"/>
        <v>12672</v>
      </c>
      <c r="L9" s="38"/>
    </row>
    <row r="10" spans="1:12" ht="18.75" customHeight="1">
      <c r="B10" s="64"/>
      <c r="C10" s="67" t="s">
        <v>157</v>
      </c>
      <c r="D10" s="68"/>
      <c r="E10" s="22" t="s">
        <v>45</v>
      </c>
      <c r="F10" s="31" t="s">
        <v>118</v>
      </c>
      <c r="G10" s="32"/>
      <c r="H10" s="31" t="s">
        <v>92</v>
      </c>
      <c r="I10" s="33" t="s">
        <v>19</v>
      </c>
      <c r="J10" s="31"/>
      <c r="K10" s="33" t="s">
        <v>133</v>
      </c>
      <c r="L10" s="34" t="s">
        <v>20</v>
      </c>
    </row>
    <row r="11" spans="1:12" ht="18.75" customHeight="1">
      <c r="B11" s="58"/>
      <c r="C11" s="69"/>
      <c r="D11" s="70"/>
      <c r="E11" s="24" t="s">
        <v>46</v>
      </c>
      <c r="F11" s="35" t="s">
        <v>119</v>
      </c>
      <c r="G11" s="25"/>
      <c r="H11" s="20"/>
      <c r="I11" s="25" t="s">
        <v>135</v>
      </c>
      <c r="J11" s="35"/>
      <c r="K11" s="25"/>
      <c r="L11" s="36">
        <f>SUM(C9:L9)</f>
        <v>151672</v>
      </c>
    </row>
    <row r="12" spans="1:12" ht="18.75" customHeight="1">
      <c r="B12" s="37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8.75" customHeight="1">
      <c r="B13" s="71" t="s">
        <v>22</v>
      </c>
      <c r="C13" s="59" t="s">
        <v>23</v>
      </c>
      <c r="D13" s="60"/>
      <c r="E13" s="14" t="s">
        <v>24</v>
      </c>
      <c r="F13" s="14" t="s">
        <v>25</v>
      </c>
      <c r="G13" s="14"/>
      <c r="H13" s="15" t="s">
        <v>26</v>
      </c>
      <c r="I13" s="14" t="s">
        <v>27</v>
      </c>
      <c r="J13" s="15" t="s">
        <v>28</v>
      </c>
      <c r="K13" s="14" t="s">
        <v>29</v>
      </c>
      <c r="L13" s="16" t="s">
        <v>30</v>
      </c>
    </row>
    <row r="14" spans="1:12" ht="18.75" customHeight="1">
      <c r="B14" s="64"/>
      <c r="C14" s="72">
        <v>0</v>
      </c>
      <c r="D14" s="62"/>
      <c r="E14" s="38">
        <v>0</v>
      </c>
      <c r="F14" s="39">
        <v>0</v>
      </c>
      <c r="G14" s="38"/>
      <c r="H14" s="39">
        <f>SUM(C14:G14)</f>
        <v>0</v>
      </c>
      <c r="I14" s="38">
        <f>L11-K9-H14</f>
        <v>139000</v>
      </c>
      <c r="J14" s="39">
        <v>2680</v>
      </c>
      <c r="K14" s="38">
        <v>0</v>
      </c>
      <c r="L14" s="36">
        <f>SUM(J14:K14)</f>
        <v>2680</v>
      </c>
    </row>
    <row r="15" spans="1:12" ht="18.75" customHeight="1">
      <c r="B15" s="64"/>
      <c r="C15" s="59"/>
      <c r="D15" s="60"/>
      <c r="E15" s="14"/>
      <c r="F15" s="15"/>
      <c r="G15" s="14"/>
      <c r="H15" s="15"/>
      <c r="I15" s="14"/>
      <c r="J15" s="15"/>
      <c r="K15" s="14"/>
      <c r="L15" s="16" t="s">
        <v>31</v>
      </c>
    </row>
    <row r="16" spans="1:12" ht="18.75" customHeight="1">
      <c r="B16" s="58"/>
      <c r="C16" s="66"/>
      <c r="D16" s="62"/>
      <c r="E16" s="38"/>
      <c r="F16" s="39"/>
      <c r="G16" s="38"/>
      <c r="H16" s="39"/>
      <c r="I16" s="38"/>
      <c r="J16" s="39"/>
      <c r="K16" s="38"/>
      <c r="L16" s="36">
        <f>H14+L14</f>
        <v>2680</v>
      </c>
    </row>
    <row r="17" spans="2:12" ht="18.75" customHeight="1"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2:12" ht="18.75" customHeight="1">
      <c r="B18" s="57" t="s">
        <v>32</v>
      </c>
      <c r="C18" s="59" t="s">
        <v>20</v>
      </c>
      <c r="D18" s="60"/>
      <c r="E18" s="14" t="s">
        <v>31</v>
      </c>
      <c r="F18" s="15"/>
      <c r="G18" s="14"/>
      <c r="H18" s="15"/>
      <c r="I18" s="14"/>
      <c r="J18" s="15"/>
      <c r="K18" s="14" t="s">
        <v>33</v>
      </c>
      <c r="L18" s="16" t="s">
        <v>34</v>
      </c>
    </row>
    <row r="19" spans="2:12" ht="18.75" customHeight="1">
      <c r="B19" s="58"/>
      <c r="C19" s="61">
        <f>L11</f>
        <v>151672</v>
      </c>
      <c r="D19" s="62"/>
      <c r="E19" s="38">
        <f>L16</f>
        <v>2680</v>
      </c>
      <c r="F19" s="39"/>
      <c r="G19" s="38"/>
      <c r="H19" s="39"/>
      <c r="I19" s="38"/>
      <c r="J19" s="39"/>
      <c r="K19" s="38">
        <f>L19-J19</f>
        <v>148992</v>
      </c>
      <c r="L19" s="36">
        <f>C19-E19</f>
        <v>148992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</sheetData>
  <mergeCells count="19">
    <mergeCell ref="C19:D19"/>
    <mergeCell ref="C8:D8"/>
    <mergeCell ref="C9:D9"/>
    <mergeCell ref="C10:D10"/>
    <mergeCell ref="C11:D11"/>
    <mergeCell ref="C13:D13"/>
    <mergeCell ref="B18:B19"/>
    <mergeCell ref="A3:B3"/>
    <mergeCell ref="C14:D14"/>
    <mergeCell ref="C15:D15"/>
    <mergeCell ref="C16:D16"/>
    <mergeCell ref="B4:F4"/>
    <mergeCell ref="B5:C5"/>
    <mergeCell ref="D5:E5"/>
    <mergeCell ref="B6:C6"/>
    <mergeCell ref="D6:E6"/>
    <mergeCell ref="B8:B11"/>
    <mergeCell ref="B13:B16"/>
    <mergeCell ref="C18:D18"/>
  </mergeCells>
  <phoneticPr fontId="17"/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topLeftCell="A9" workbookViewId="0">
      <selection activeCell="H37" sqref="H37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47">
        <v>2022</v>
      </c>
      <c r="B1" s="48"/>
      <c r="C1" s="2" t="s">
        <v>0</v>
      </c>
      <c r="D1" s="3"/>
      <c r="E1" s="3" t="s">
        <v>1</v>
      </c>
    </row>
    <row r="2" spans="1:12" ht="18" customHeight="1">
      <c r="B2" s="49" t="s">
        <v>2</v>
      </c>
      <c r="C2" s="50"/>
      <c r="D2" s="50"/>
      <c r="E2" s="50"/>
      <c r="F2" s="51"/>
      <c r="H2" s="4"/>
      <c r="I2" s="5"/>
      <c r="J2" s="6"/>
    </row>
    <row r="3" spans="1:12" ht="18" customHeight="1">
      <c r="B3" s="52"/>
      <c r="C3" s="48"/>
      <c r="D3" s="53" t="s">
        <v>3</v>
      </c>
      <c r="E3" s="48"/>
      <c r="F3" s="7"/>
      <c r="G3" s="8" t="s">
        <v>4</v>
      </c>
    </row>
    <row r="4" spans="1:12" ht="18" customHeight="1">
      <c r="B4" s="54" t="s">
        <v>5</v>
      </c>
      <c r="C4" s="55"/>
      <c r="D4" s="56" t="s">
        <v>48</v>
      </c>
      <c r="E4" s="55"/>
      <c r="F4" s="10" t="s">
        <v>6</v>
      </c>
      <c r="G4" s="11">
        <v>1</v>
      </c>
      <c r="J4" s="12"/>
    </row>
    <row r="5" spans="1:12" ht="1.5" customHeight="1">
      <c r="B5" s="13"/>
      <c r="J5" s="12"/>
    </row>
    <row r="6" spans="1:12" ht="12" customHeight="1">
      <c r="B6" s="71" t="s">
        <v>49</v>
      </c>
      <c r="C6" s="59" t="s">
        <v>8</v>
      </c>
      <c r="D6" s="60"/>
      <c r="E6" s="14" t="s">
        <v>40</v>
      </c>
      <c r="F6" s="15"/>
      <c r="G6" s="14"/>
      <c r="H6" s="15"/>
      <c r="I6" s="14"/>
      <c r="J6" s="15"/>
      <c r="K6" s="14"/>
      <c r="L6" s="16"/>
    </row>
    <row r="7" spans="1:12" ht="12" customHeight="1">
      <c r="B7" s="64"/>
      <c r="C7" s="66">
        <f>LEFT(C8,FIND("（ｺﾏ）×",C8)-1)*RIGHT(C8,LEN(C8)-FIND("×",C8))+IF(C9&lt;&gt;"",LEFT(C9,FIND("（時間）×",C9)-1)*RIGHT(C9,LEN(C9)-FIND("×",C9)),0)</f>
        <v>0</v>
      </c>
      <c r="D7" s="62"/>
      <c r="E7" s="17">
        <f>LEFT(E8,FIND("（＋1名）×",E8)-1)*RIGHT(E8,LEN(E8)-FIND("×",E8))</f>
        <v>0</v>
      </c>
      <c r="F7" s="18"/>
      <c r="G7" s="19"/>
      <c r="H7" s="20"/>
      <c r="I7" s="19"/>
      <c r="J7" s="20"/>
      <c r="K7" s="19"/>
      <c r="L7" s="21"/>
    </row>
    <row r="8" spans="1:12" ht="12" customHeight="1">
      <c r="B8" s="64"/>
      <c r="C8" s="67" t="s">
        <v>50</v>
      </c>
      <c r="D8" s="68"/>
      <c r="E8" s="22" t="s">
        <v>43</v>
      </c>
      <c r="F8" s="23"/>
      <c r="G8" s="16"/>
      <c r="H8" s="15"/>
      <c r="I8" s="14"/>
      <c r="J8" s="15"/>
      <c r="K8" s="14"/>
      <c r="L8" s="16"/>
    </row>
    <row r="9" spans="1:12" ht="12" customHeight="1">
      <c r="B9" s="58"/>
      <c r="C9" s="73" t="s">
        <v>51</v>
      </c>
      <c r="D9" s="70"/>
      <c r="E9" s="24"/>
      <c r="F9" s="25"/>
      <c r="G9" s="21"/>
      <c r="H9" s="20"/>
      <c r="I9" s="19"/>
      <c r="J9" s="20"/>
      <c r="K9" s="19"/>
      <c r="L9" s="42"/>
    </row>
    <row r="10" spans="1:12" ht="1.5" customHeight="1">
      <c r="B10" s="26"/>
      <c r="C10" s="18"/>
      <c r="D10" s="18"/>
      <c r="E10" s="18"/>
      <c r="F10" s="27"/>
      <c r="G10" s="18"/>
      <c r="H10" s="18"/>
      <c r="I10" s="18"/>
      <c r="J10" s="18"/>
      <c r="K10" s="18"/>
      <c r="L10" s="18"/>
    </row>
    <row r="11" spans="1:12" ht="12" customHeight="1">
      <c r="A11" s="28"/>
      <c r="B11" s="71" t="s">
        <v>52</v>
      </c>
      <c r="C11" s="65" t="s">
        <v>53</v>
      </c>
      <c r="D11" s="60"/>
      <c r="E11" s="29" t="s">
        <v>54</v>
      </c>
      <c r="F11" s="15" t="s">
        <v>12</v>
      </c>
      <c r="G11" s="30" t="s">
        <v>13</v>
      </c>
      <c r="H11" s="15" t="s">
        <v>14</v>
      </c>
      <c r="I11" s="14" t="s">
        <v>15</v>
      </c>
      <c r="J11" s="14" t="s">
        <v>16</v>
      </c>
      <c r="K11" s="14" t="s">
        <v>17</v>
      </c>
      <c r="L11" s="16"/>
    </row>
    <row r="12" spans="1:12" ht="12" customHeight="1">
      <c r="B12" s="64"/>
      <c r="C12" s="66">
        <f>LEFT(C13,FIND("×",C13)-1)*RIGHT(C13,LEN(C13)-FIND("×",C13))+IF(C14&lt;&gt;"",LEFT(C14,FIND("×",C14)-1)*RIGHT(C14,LEN(C14)-FIND("×",C14)),0)</f>
        <v>3800</v>
      </c>
      <c r="D12" s="62"/>
      <c r="E12" s="17">
        <f>LEFT(E13,FIND("（10分）×",E13)-1)*RIGHT(E13,LEN(E13)-FIND("×",E13))+LEFT(E14,FIND("（60分）×",E14)-1)*RIGHT(E14,LEN(E14)-FIND("×",E14))</f>
        <v>0</v>
      </c>
      <c r="F12" s="17">
        <f>LEFT(F13,FIND("×",F13)-1)*RIGHT(F13,LEN(F13)-FIND("×",F13))+IF(F14&lt;&gt;"",LEFT(F14,FIND("×",F14)-1)*RIGHT(F14,LEN(F14)-FIND("×",F14)),0)</f>
        <v>200</v>
      </c>
      <c r="G12" s="17">
        <f>LEFT(G13,FIND("（小6）×",G13)-1)*RIGHT(G13,LEN(G13)-FIND("×",G13))+LEFT(G14,FIND("（高3）×",G14)-1)*RIGHT(G14,LEN(G14)-FIND("×",G14))</f>
        <v>200</v>
      </c>
      <c r="H12" s="17">
        <f t="shared" ref="H12:K12" si="0">IF(H11&lt;&gt;"",LEFT(H13,FIND("×",H13)-1)*RIGHT(H13,LEN(H13)-FIND("×",H13))+IF(H14&lt;&gt;"",LEFT(H14,FIND("×",H14)-1)*RIGHT(H14,LEN(H14)-FIND("×",H14)),0),"")</f>
        <v>0</v>
      </c>
      <c r="I12" s="17">
        <f t="shared" si="0"/>
        <v>0</v>
      </c>
      <c r="J12" s="17">
        <f t="shared" si="0"/>
        <v>0</v>
      </c>
      <c r="K12" s="17">
        <f t="shared" si="0"/>
        <v>1424</v>
      </c>
      <c r="L12" s="38"/>
    </row>
    <row r="13" spans="1:12" ht="12" customHeight="1">
      <c r="B13" s="64"/>
      <c r="C13" s="67" t="s">
        <v>55</v>
      </c>
      <c r="D13" s="68"/>
      <c r="E13" s="22" t="s">
        <v>56</v>
      </c>
      <c r="F13" s="31" t="s">
        <v>57</v>
      </c>
      <c r="G13" s="32" t="s">
        <v>38</v>
      </c>
      <c r="H13" s="31" t="s">
        <v>18</v>
      </c>
      <c r="I13" s="33" t="s">
        <v>19</v>
      </c>
      <c r="J13" s="31" t="s">
        <v>36</v>
      </c>
      <c r="K13" s="33" t="s">
        <v>58</v>
      </c>
      <c r="L13" s="34" t="s">
        <v>20</v>
      </c>
    </row>
    <row r="14" spans="1:12" ht="12" customHeight="1">
      <c r="B14" s="58"/>
      <c r="C14" s="67" t="s">
        <v>59</v>
      </c>
      <c r="D14" s="68"/>
      <c r="E14" s="24" t="s">
        <v>60</v>
      </c>
      <c r="F14" s="35"/>
      <c r="G14" s="25" t="s">
        <v>61</v>
      </c>
      <c r="H14" s="20"/>
      <c r="I14" s="25" t="s">
        <v>37</v>
      </c>
      <c r="J14" s="35"/>
      <c r="K14" s="25"/>
      <c r="L14" s="36">
        <f>SUM(C12:L12)+C7+E7</f>
        <v>5624</v>
      </c>
    </row>
    <row r="15" spans="1:12" ht="1.5" customHeight="1">
      <c r="B15" s="37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2" customHeight="1">
      <c r="B16" s="71" t="s">
        <v>22</v>
      </c>
      <c r="C16" s="59" t="s">
        <v>23</v>
      </c>
      <c r="D16" s="60"/>
      <c r="E16" s="14" t="s">
        <v>24</v>
      </c>
      <c r="F16" s="14" t="s">
        <v>25</v>
      </c>
      <c r="G16" s="14"/>
      <c r="H16" s="15" t="s">
        <v>26</v>
      </c>
      <c r="I16" s="14" t="s">
        <v>27</v>
      </c>
      <c r="J16" s="15" t="s">
        <v>28</v>
      </c>
      <c r="K16" s="14" t="s">
        <v>29</v>
      </c>
      <c r="L16" s="16" t="s">
        <v>30</v>
      </c>
    </row>
    <row r="17" spans="1:12" ht="12" customHeight="1">
      <c r="B17" s="64"/>
      <c r="C17" s="72">
        <v>0</v>
      </c>
      <c r="D17" s="62"/>
      <c r="E17" s="38">
        <v>0</v>
      </c>
      <c r="F17" s="39">
        <v>0</v>
      </c>
      <c r="G17" s="38"/>
      <c r="H17" s="39">
        <f>SUM(C17:G17)</f>
        <v>0</v>
      </c>
      <c r="I17" s="38">
        <f>L14-K12-H17</f>
        <v>4200</v>
      </c>
      <c r="J17" s="39">
        <v>0</v>
      </c>
      <c r="K17" s="38">
        <v>0</v>
      </c>
      <c r="L17" s="36">
        <f>SUM(J17:K17)</f>
        <v>0</v>
      </c>
    </row>
    <row r="18" spans="1:12" ht="12" customHeight="1">
      <c r="B18" s="64"/>
      <c r="C18" s="59"/>
      <c r="D18" s="60"/>
      <c r="E18" s="14"/>
      <c r="F18" s="15"/>
      <c r="G18" s="14"/>
      <c r="H18" s="15"/>
      <c r="I18" s="14"/>
      <c r="J18" s="15"/>
      <c r="K18" s="14"/>
      <c r="L18" s="16" t="s">
        <v>31</v>
      </c>
    </row>
    <row r="19" spans="1:12" ht="12" customHeight="1">
      <c r="B19" s="58"/>
      <c r="C19" s="66"/>
      <c r="D19" s="62"/>
      <c r="E19" s="38"/>
      <c r="F19" s="39"/>
      <c r="G19" s="38"/>
      <c r="H19" s="39"/>
      <c r="I19" s="38"/>
      <c r="J19" s="39"/>
      <c r="K19" s="38"/>
      <c r="L19" s="36">
        <f>H17+L17</f>
        <v>0</v>
      </c>
    </row>
    <row r="20" spans="1:12" ht="1.5" customHeight="1"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ht="12" customHeight="1">
      <c r="B21" s="57" t="s">
        <v>32</v>
      </c>
      <c r="C21" s="59" t="s">
        <v>20</v>
      </c>
      <c r="D21" s="60"/>
      <c r="E21" s="14" t="s">
        <v>31</v>
      </c>
      <c r="F21" s="15"/>
      <c r="G21" s="14"/>
      <c r="H21" s="15"/>
      <c r="I21" s="14"/>
      <c r="J21" s="15"/>
      <c r="K21" s="14" t="s">
        <v>33</v>
      </c>
      <c r="L21" s="16" t="s">
        <v>34</v>
      </c>
    </row>
    <row r="22" spans="1:12" ht="12" customHeight="1">
      <c r="B22" s="58"/>
      <c r="C22" s="61">
        <f>L14</f>
        <v>5624</v>
      </c>
      <c r="D22" s="62"/>
      <c r="E22" s="38">
        <f>L19</f>
        <v>0</v>
      </c>
      <c r="F22" s="39"/>
      <c r="G22" s="38"/>
      <c r="H22" s="39"/>
      <c r="I22" s="38"/>
      <c r="J22" s="39"/>
      <c r="K22" s="38">
        <f>L22-J22</f>
        <v>5624</v>
      </c>
      <c r="L22" s="36">
        <f>C22-E22</f>
        <v>5624</v>
      </c>
    </row>
    <row r="23" spans="1:12" ht="18.75" customHeight="1"/>
    <row r="24" spans="1:12" ht="18" customHeight="1">
      <c r="A24" s="47">
        <v>2023</v>
      </c>
      <c r="B24" s="48"/>
      <c r="C24" s="2" t="s">
        <v>0</v>
      </c>
      <c r="D24" s="3"/>
      <c r="E24" s="3" t="s">
        <v>35</v>
      </c>
    </row>
    <row r="25" spans="1:12" ht="18" customHeight="1">
      <c r="B25" s="49" t="s">
        <v>2</v>
      </c>
      <c r="C25" s="50"/>
      <c r="D25" s="50"/>
      <c r="E25" s="50"/>
      <c r="F25" s="51"/>
      <c r="H25" s="4"/>
      <c r="I25" s="5"/>
      <c r="J25" s="6"/>
    </row>
    <row r="26" spans="1:12" ht="18" customHeight="1">
      <c r="B26" s="52"/>
      <c r="C26" s="48"/>
      <c r="D26" s="53" t="s">
        <v>3</v>
      </c>
      <c r="E26" s="48"/>
      <c r="F26" s="7"/>
      <c r="G26" s="8" t="s">
        <v>4</v>
      </c>
    </row>
    <row r="27" spans="1:12" ht="18" customHeight="1">
      <c r="B27" s="54" t="s">
        <v>5</v>
      </c>
      <c r="C27" s="55"/>
      <c r="D27" s="56" t="s">
        <v>48</v>
      </c>
      <c r="E27" s="55"/>
      <c r="F27" s="10" t="s">
        <v>6</v>
      </c>
      <c r="G27" s="11">
        <v>1</v>
      </c>
      <c r="J27" s="12"/>
    </row>
    <row r="28" spans="1:12" ht="1.5" customHeight="1">
      <c r="B28" s="13"/>
      <c r="J28" s="12"/>
    </row>
    <row r="29" spans="1:12" ht="12" customHeight="1">
      <c r="B29" s="71" t="s">
        <v>49</v>
      </c>
      <c r="C29" s="59" t="s">
        <v>8</v>
      </c>
      <c r="D29" s="60"/>
      <c r="E29" s="14" t="s">
        <v>40</v>
      </c>
      <c r="F29" s="15"/>
      <c r="G29" s="14"/>
      <c r="H29" s="15"/>
      <c r="I29" s="14"/>
      <c r="J29" s="15"/>
      <c r="K29" s="14"/>
      <c r="L29" s="16"/>
    </row>
    <row r="30" spans="1:12" ht="12" customHeight="1">
      <c r="B30" s="64"/>
      <c r="C30" s="66">
        <f>LEFT(C31,FIND("（ｺﾏ）×",C31)-1)*RIGHT(C31,LEN(C31)-FIND("×",C31))+IF(C32&lt;&gt;"",LEFT(C32,FIND("（時間）×",C32)-1)*RIGHT(C32,LEN(C32)-FIND("×",C32)),0)</f>
        <v>0</v>
      </c>
      <c r="D30" s="62"/>
      <c r="E30" s="17">
        <f>LEFT(E31,FIND("（＋1名）×",E31)-1)*RIGHT(E31,LEN(E31)-FIND("×",E31))</f>
        <v>0</v>
      </c>
      <c r="F30" s="18"/>
      <c r="G30" s="19"/>
      <c r="H30" s="20"/>
      <c r="I30" s="19"/>
      <c r="J30" s="20"/>
      <c r="K30" s="19"/>
      <c r="L30" s="21"/>
    </row>
    <row r="31" spans="1:12" ht="12" customHeight="1">
      <c r="B31" s="64"/>
      <c r="C31" s="67" t="s">
        <v>50</v>
      </c>
      <c r="D31" s="68"/>
      <c r="E31" s="22" t="s">
        <v>43</v>
      </c>
      <c r="F31" s="23"/>
      <c r="G31" s="16"/>
      <c r="H31" s="15"/>
      <c r="I31" s="14"/>
      <c r="J31" s="15"/>
      <c r="K31" s="14"/>
      <c r="L31" s="16"/>
    </row>
    <row r="32" spans="1:12" ht="12" customHeight="1">
      <c r="B32" s="58"/>
      <c r="C32" s="73" t="s">
        <v>51</v>
      </c>
      <c r="D32" s="70"/>
      <c r="E32" s="24"/>
      <c r="F32" s="25"/>
      <c r="G32" s="21"/>
      <c r="H32" s="20"/>
      <c r="I32" s="19"/>
      <c r="J32" s="20"/>
      <c r="K32" s="19"/>
      <c r="L32" s="42"/>
    </row>
    <row r="33" spans="1:12" ht="1.5" customHeight="1">
      <c r="B33" s="26"/>
      <c r="C33" s="18"/>
      <c r="D33" s="18"/>
      <c r="E33" s="18"/>
      <c r="F33" s="27"/>
      <c r="G33" s="18"/>
      <c r="H33" s="18"/>
      <c r="I33" s="18"/>
      <c r="J33" s="18"/>
      <c r="K33" s="18"/>
      <c r="L33" s="18"/>
    </row>
    <row r="34" spans="1:12" ht="12" customHeight="1">
      <c r="A34" s="28"/>
      <c r="B34" s="71" t="s">
        <v>52</v>
      </c>
      <c r="C34" s="65" t="s">
        <v>53</v>
      </c>
      <c r="D34" s="60"/>
      <c r="E34" s="29" t="s">
        <v>54</v>
      </c>
      <c r="F34" s="15" t="s">
        <v>12</v>
      </c>
      <c r="G34" s="30" t="s">
        <v>13</v>
      </c>
      <c r="H34" s="15" t="s">
        <v>14</v>
      </c>
      <c r="I34" s="14" t="s">
        <v>15</v>
      </c>
      <c r="J34" s="14" t="s">
        <v>16</v>
      </c>
      <c r="K34" s="14" t="s">
        <v>17</v>
      </c>
      <c r="L34" s="16"/>
    </row>
    <row r="35" spans="1:12" ht="12" customHeight="1">
      <c r="B35" s="64"/>
      <c r="C35" s="66">
        <f>LEFT(C36,FIND("×",C36)-1)*RIGHT(C36,LEN(C36)-FIND("×",C36))+IF(C37&lt;&gt;"",LEFT(C37,FIND("×",C37)-1)*RIGHT(C37,LEN(C37)-FIND("×",C37)),0)</f>
        <v>3800</v>
      </c>
      <c r="D35" s="62"/>
      <c r="E35" s="17">
        <f>LEFT(E36,FIND("（10分）×",E36)-1)*RIGHT(E36,LEN(E36)-FIND("×",E36))+LEFT(E37,FIND("（60分）×",E37)-1)*RIGHT(E37,LEN(E37)-FIND("×",E37))</f>
        <v>0</v>
      </c>
      <c r="F35" s="17">
        <f>LEFT(F36,FIND("×",F36)-1)*RIGHT(F36,LEN(F36)-FIND("×",F36))+IF(F37&lt;&gt;"",LEFT(F37,FIND("×",F37)-1)*RIGHT(F37,LEN(F37)-FIND("×",F37)),0)</f>
        <v>200</v>
      </c>
      <c r="G35" s="17">
        <f>LEFT(G36,FIND("（小6）×",G36)-1)*RIGHT(G36,LEN(G36)-FIND("×",G36))+LEFT(G37,FIND("（高3）×",G37)-1)*RIGHT(G37,LEN(G37)-FIND("×",G37))</f>
        <v>0</v>
      </c>
      <c r="H35" s="17">
        <f t="shared" ref="H35:K35" si="1">IF(H34&lt;&gt;"",LEFT(H36,FIND("×",H36)-1)*RIGHT(H36,LEN(H36)-FIND("×",H36))+IF(H37&lt;&gt;"",LEFT(H37,FIND("×",H37)-1)*RIGHT(H37,LEN(H37)-FIND("×",H37)),0),"")</f>
        <v>0</v>
      </c>
      <c r="I35" s="17">
        <f t="shared" si="1"/>
        <v>0</v>
      </c>
      <c r="J35" s="17">
        <f t="shared" si="1"/>
        <v>0</v>
      </c>
      <c r="K35" s="17">
        <f t="shared" si="1"/>
        <v>1424</v>
      </c>
      <c r="L35" s="38"/>
    </row>
    <row r="36" spans="1:12" ht="12" customHeight="1">
      <c r="B36" s="64"/>
      <c r="C36" s="67" t="s">
        <v>55</v>
      </c>
      <c r="D36" s="68"/>
      <c r="E36" s="22" t="s">
        <v>56</v>
      </c>
      <c r="F36" s="31" t="s">
        <v>57</v>
      </c>
      <c r="G36" s="32" t="s">
        <v>38</v>
      </c>
      <c r="H36" s="31" t="s">
        <v>99</v>
      </c>
      <c r="I36" s="33" t="s">
        <v>19</v>
      </c>
      <c r="J36" s="31" t="s">
        <v>36</v>
      </c>
      <c r="K36" s="33" t="s">
        <v>58</v>
      </c>
      <c r="L36" s="34" t="s">
        <v>20</v>
      </c>
    </row>
    <row r="37" spans="1:12" ht="12" customHeight="1">
      <c r="B37" s="58"/>
      <c r="C37" s="67" t="s">
        <v>59</v>
      </c>
      <c r="D37" s="68"/>
      <c r="E37" s="24" t="s">
        <v>60</v>
      </c>
      <c r="F37" s="35"/>
      <c r="G37" s="25" t="s">
        <v>39</v>
      </c>
      <c r="H37" s="20"/>
      <c r="I37" s="25" t="s">
        <v>37</v>
      </c>
      <c r="J37" s="35"/>
      <c r="K37" s="25"/>
      <c r="L37" s="36">
        <f>SUM(C35:L35)+C30+E30</f>
        <v>5424</v>
      </c>
    </row>
    <row r="38" spans="1:12" ht="1.5" customHeight="1">
      <c r="B38" s="37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12" customHeight="1">
      <c r="B39" s="71" t="s">
        <v>22</v>
      </c>
      <c r="C39" s="59" t="s">
        <v>23</v>
      </c>
      <c r="D39" s="60"/>
      <c r="E39" s="14" t="s">
        <v>24</v>
      </c>
      <c r="F39" s="14" t="s">
        <v>25</v>
      </c>
      <c r="G39" s="14"/>
      <c r="H39" s="15" t="s">
        <v>26</v>
      </c>
      <c r="I39" s="14" t="s">
        <v>27</v>
      </c>
      <c r="J39" s="15" t="s">
        <v>28</v>
      </c>
      <c r="K39" s="14" t="s">
        <v>29</v>
      </c>
      <c r="L39" s="16" t="s">
        <v>30</v>
      </c>
    </row>
    <row r="40" spans="1:12" ht="12" customHeight="1">
      <c r="B40" s="64"/>
      <c r="C40" s="72">
        <v>0</v>
      </c>
      <c r="D40" s="62"/>
      <c r="E40" s="38">
        <v>0</v>
      </c>
      <c r="F40" s="39">
        <v>0</v>
      </c>
      <c r="G40" s="38"/>
      <c r="H40" s="39">
        <f>SUM(C40:G40)</f>
        <v>0</v>
      </c>
      <c r="I40" s="38">
        <f>L37-K35-H40</f>
        <v>4000</v>
      </c>
      <c r="J40" s="39">
        <v>0</v>
      </c>
      <c r="K40" s="38">
        <v>0</v>
      </c>
      <c r="L40" s="36">
        <f>SUM(J40:K40)</f>
        <v>0</v>
      </c>
    </row>
    <row r="41" spans="1:12" ht="12" customHeight="1">
      <c r="B41" s="64"/>
      <c r="C41" s="59"/>
      <c r="D41" s="60"/>
      <c r="E41" s="14"/>
      <c r="F41" s="15"/>
      <c r="G41" s="14"/>
      <c r="H41" s="15"/>
      <c r="I41" s="14"/>
      <c r="J41" s="15"/>
      <c r="K41" s="14"/>
      <c r="L41" s="16" t="s">
        <v>31</v>
      </c>
    </row>
    <row r="42" spans="1:12" ht="12" customHeight="1">
      <c r="B42" s="58"/>
      <c r="C42" s="66"/>
      <c r="D42" s="62"/>
      <c r="E42" s="38"/>
      <c r="F42" s="39"/>
      <c r="G42" s="38"/>
      <c r="H42" s="39"/>
      <c r="I42" s="38"/>
      <c r="J42" s="39"/>
      <c r="K42" s="38"/>
      <c r="L42" s="36">
        <f>H40+L40</f>
        <v>0</v>
      </c>
    </row>
    <row r="43" spans="1:12" ht="1.5" customHeight="1"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2" customHeight="1">
      <c r="B44" s="57" t="s">
        <v>32</v>
      </c>
      <c r="C44" s="59" t="s">
        <v>20</v>
      </c>
      <c r="D44" s="60"/>
      <c r="E44" s="14" t="s">
        <v>31</v>
      </c>
      <c r="F44" s="15"/>
      <c r="G44" s="14"/>
      <c r="H44" s="15"/>
      <c r="I44" s="14"/>
      <c r="J44" s="15"/>
      <c r="K44" s="14" t="s">
        <v>33</v>
      </c>
      <c r="L44" s="16" t="s">
        <v>34</v>
      </c>
    </row>
    <row r="45" spans="1:12" ht="12" customHeight="1">
      <c r="B45" s="58"/>
      <c r="C45" s="61">
        <f>L37</f>
        <v>5424</v>
      </c>
      <c r="D45" s="62"/>
      <c r="E45" s="38">
        <f>L42</f>
        <v>0</v>
      </c>
      <c r="F45" s="39"/>
      <c r="G45" s="38"/>
      <c r="H45" s="39"/>
      <c r="I45" s="38"/>
      <c r="J45" s="39"/>
      <c r="K45" s="38">
        <f>L45-J45</f>
        <v>5424</v>
      </c>
      <c r="L45" s="36">
        <f>C45-E45</f>
        <v>5424</v>
      </c>
    </row>
    <row r="46" spans="1:12" ht="18.75" customHeight="1"/>
    <row r="47" spans="1:12" ht="18.75" customHeight="1"/>
    <row r="48" spans="1:12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48">
    <mergeCell ref="C41:D41"/>
    <mergeCell ref="C42:D42"/>
    <mergeCell ref="C44:D44"/>
    <mergeCell ref="C45:D45"/>
    <mergeCell ref="B16:B19"/>
    <mergeCell ref="B21:B22"/>
    <mergeCell ref="A24:B24"/>
    <mergeCell ref="B29:B32"/>
    <mergeCell ref="B34:B37"/>
    <mergeCell ref="B39:B42"/>
    <mergeCell ref="B44:B45"/>
    <mergeCell ref="C21:D21"/>
    <mergeCell ref="C22:D22"/>
    <mergeCell ref="B25:F25"/>
    <mergeCell ref="B26:C26"/>
    <mergeCell ref="D26:E26"/>
    <mergeCell ref="C40:D40"/>
    <mergeCell ref="B27:C27"/>
    <mergeCell ref="D27:E27"/>
    <mergeCell ref="C6:D6"/>
    <mergeCell ref="C7:D7"/>
    <mergeCell ref="B6:B9"/>
    <mergeCell ref="C8:D8"/>
    <mergeCell ref="C9:D9"/>
    <mergeCell ref="C37:D37"/>
    <mergeCell ref="C39:D39"/>
    <mergeCell ref="C29:D29"/>
    <mergeCell ref="C30:D30"/>
    <mergeCell ref="C31:D31"/>
    <mergeCell ref="C32:D32"/>
    <mergeCell ref="C34:D34"/>
    <mergeCell ref="C35:D35"/>
    <mergeCell ref="C36:D36"/>
    <mergeCell ref="A1:B1"/>
    <mergeCell ref="B2:F2"/>
    <mergeCell ref="B3:C3"/>
    <mergeCell ref="D3:E3"/>
    <mergeCell ref="B4:C4"/>
    <mergeCell ref="D4:E4"/>
    <mergeCell ref="B11:B14"/>
    <mergeCell ref="C11:D11"/>
    <mergeCell ref="C12:D12"/>
    <mergeCell ref="C13:D13"/>
    <mergeCell ref="C19:D19"/>
    <mergeCell ref="C14:D14"/>
    <mergeCell ref="C16:D16"/>
    <mergeCell ref="C17:D17"/>
    <mergeCell ref="C18:D18"/>
  </mergeCells>
  <phoneticPr fontId="17"/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topLeftCell="A12" workbookViewId="0">
      <selection sqref="A1:B1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47">
        <v>2022</v>
      </c>
      <c r="B1" s="48"/>
      <c r="C1" s="2" t="s">
        <v>0</v>
      </c>
      <c r="D1" s="3"/>
      <c r="E1" s="3" t="s">
        <v>41</v>
      </c>
    </row>
    <row r="2" spans="1:12" ht="18" customHeight="1">
      <c r="B2" s="49" t="s">
        <v>2</v>
      </c>
      <c r="C2" s="50"/>
      <c r="D2" s="50"/>
      <c r="E2" s="50"/>
      <c r="F2" s="51"/>
      <c r="H2" s="4"/>
      <c r="I2" s="5"/>
      <c r="J2" s="6"/>
    </row>
    <row r="3" spans="1:12" ht="18" customHeight="1">
      <c r="B3" s="52"/>
      <c r="C3" s="48"/>
      <c r="D3" s="53" t="s">
        <v>3</v>
      </c>
      <c r="E3" s="48"/>
      <c r="F3" s="7"/>
      <c r="G3" s="41" t="s">
        <v>4</v>
      </c>
      <c r="H3" s="9"/>
    </row>
    <row r="4" spans="1:12" ht="18" customHeight="1">
      <c r="B4" s="54" t="s">
        <v>5</v>
      </c>
      <c r="C4" s="55"/>
      <c r="D4" s="56" t="s">
        <v>62</v>
      </c>
      <c r="E4" s="55"/>
      <c r="F4" s="10" t="s">
        <v>6</v>
      </c>
      <c r="G4" s="11">
        <v>4</v>
      </c>
      <c r="J4" s="12"/>
    </row>
    <row r="5" spans="1:12" ht="1.5" customHeight="1">
      <c r="B5" s="13"/>
      <c r="J5" s="12"/>
    </row>
    <row r="6" spans="1:12" ht="12" customHeight="1">
      <c r="B6" s="63" t="s">
        <v>7</v>
      </c>
      <c r="C6" s="59" t="s">
        <v>8</v>
      </c>
      <c r="D6" s="60"/>
      <c r="E6" s="14" t="s">
        <v>40</v>
      </c>
      <c r="F6" s="15"/>
      <c r="G6" s="14"/>
      <c r="H6" s="15"/>
      <c r="I6" s="14"/>
      <c r="J6" s="15"/>
      <c r="K6" s="14"/>
      <c r="L6" s="16"/>
    </row>
    <row r="7" spans="1:12" ht="12" customHeight="1">
      <c r="B7" s="64"/>
      <c r="C7" s="66">
        <f>LEFT(C8,FIND("（ｺﾏ）×",C8)-1)*RIGHT(C8,LEN(C8)-FIND("×",C8))+IF(C9&lt;&gt;"",LEFT(C9,FIND("（時間）×",C9)-1)*RIGHT(C9,LEN(C9)-FIND("×",C9)),0)</f>
        <v>0</v>
      </c>
      <c r="D7" s="62"/>
      <c r="E7" s="17">
        <f>LEFT(E8,FIND("（＋1名）×",E8)-1)*RIGHT(E8,LEN(E8)-FIND("×",E8))</f>
        <v>0</v>
      </c>
      <c r="F7" s="18"/>
      <c r="G7" s="19"/>
      <c r="H7" s="20"/>
      <c r="I7" s="19"/>
      <c r="J7" s="20"/>
      <c r="K7" s="19"/>
      <c r="L7" s="21"/>
    </row>
    <row r="8" spans="1:12" ht="12" customHeight="1">
      <c r="B8" s="64"/>
      <c r="C8" s="67" t="s">
        <v>63</v>
      </c>
      <c r="D8" s="68"/>
      <c r="E8" s="22" t="s">
        <v>43</v>
      </c>
      <c r="F8" s="23"/>
      <c r="G8" s="16"/>
      <c r="H8" s="15"/>
      <c r="I8" s="14"/>
      <c r="J8" s="15"/>
      <c r="K8" s="14"/>
      <c r="L8" s="16"/>
    </row>
    <row r="9" spans="1:12" ht="12" customHeight="1">
      <c r="B9" s="58"/>
      <c r="C9" s="73" t="s">
        <v>64</v>
      </c>
      <c r="D9" s="70"/>
      <c r="E9" s="24"/>
      <c r="F9" s="25"/>
      <c r="G9" s="21"/>
      <c r="H9" s="20"/>
      <c r="I9" s="19"/>
      <c r="J9" s="20"/>
      <c r="K9" s="19"/>
      <c r="L9" s="21"/>
    </row>
    <row r="10" spans="1:12" ht="1.5" customHeight="1">
      <c r="B10" s="26"/>
      <c r="C10" s="18"/>
      <c r="D10" s="18"/>
      <c r="E10" s="18"/>
      <c r="F10" s="27"/>
      <c r="G10" s="18"/>
      <c r="H10" s="18"/>
      <c r="I10" s="18"/>
      <c r="J10" s="18"/>
      <c r="K10" s="18"/>
      <c r="L10" s="18"/>
    </row>
    <row r="11" spans="1:12" ht="12" customHeight="1">
      <c r="A11" s="28"/>
      <c r="B11" s="63" t="s">
        <v>9</v>
      </c>
      <c r="C11" s="65" t="s">
        <v>10</v>
      </c>
      <c r="D11" s="60"/>
      <c r="E11" s="29" t="s">
        <v>11</v>
      </c>
      <c r="F11" s="15" t="s">
        <v>12</v>
      </c>
      <c r="G11" s="30" t="s">
        <v>44</v>
      </c>
      <c r="H11" s="15" t="s">
        <v>14</v>
      </c>
      <c r="I11" s="14" t="s">
        <v>15</v>
      </c>
      <c r="J11" s="14" t="s">
        <v>16</v>
      </c>
      <c r="K11" s="14" t="s">
        <v>17</v>
      </c>
      <c r="L11" s="16"/>
    </row>
    <row r="12" spans="1:12" ht="12" customHeight="1">
      <c r="B12" s="64"/>
      <c r="C12" s="66">
        <f>LEFT(C13,FIND("（ｺﾏ）×",C13)-1)*RIGHT(C13,LEN(C13)-FIND("×",C13))+IF(C14&lt;&gt;"",LEFT(C14,FIND("×",C14)-1)*RIGHT(C14,LEN(C14)-FIND("×",C14)),0)</f>
        <v>8800</v>
      </c>
      <c r="D12" s="62"/>
      <c r="E12" s="17">
        <f>LEFT(E13,FIND("（10分）×",E13)-1)*RIGHT(E13,LEN(E13)-FIND("×",E13))+LEFT(E14,FIND("（時間）×",E14)-1)*RIGHT(E14,LEN(E14)-FIND("×",E14))</f>
        <v>0</v>
      </c>
      <c r="F12" s="17">
        <f>LEFT(F13,FIND("×",F13)-1)*RIGHT(F13,LEN(F13)-FIND("×",F13))+IF(F14&lt;&gt;"",LEFT(F14,FIND("×",F14)-1)*RIGHT(F14,LEN(F14)-FIND("×",F14)),0)</f>
        <v>400</v>
      </c>
      <c r="G12" s="17">
        <f>LEFT(G13,FIND("（小6）×",G13)-1)*RIGHT(G13,LEN(G13)-FIND("×",G13))+LEFT(G14,FIND("（高3）×",G14)-1)*RIGHT(G14,LEN(G14)-FIND("×",G14))</f>
        <v>0</v>
      </c>
      <c r="H12" s="17">
        <f t="shared" ref="H12:K12" si="0">IF(H11&lt;&gt;"",LEFT(H13,FIND("×",H13)-1)*RIGHT(H13,LEN(H13)-FIND("×",H13))+IF(H14&lt;&gt;"",LEFT(H14,FIND("×",H14)-1)*RIGHT(H14,LEN(H14)-FIND("×",H14)),0),"")</f>
        <v>4900</v>
      </c>
      <c r="I12" s="17">
        <f t="shared" si="0"/>
        <v>700</v>
      </c>
      <c r="J12" s="17">
        <f t="shared" si="0"/>
        <v>0</v>
      </c>
      <c r="K12" s="17">
        <f t="shared" si="0"/>
        <v>0</v>
      </c>
      <c r="L12" s="38"/>
    </row>
    <row r="13" spans="1:12" ht="12" customHeight="1">
      <c r="B13" s="64"/>
      <c r="C13" s="67" t="s">
        <v>65</v>
      </c>
      <c r="D13" s="68"/>
      <c r="E13" s="22" t="s">
        <v>66</v>
      </c>
      <c r="F13" s="31" t="s">
        <v>67</v>
      </c>
      <c r="G13" s="32" t="s">
        <v>38</v>
      </c>
      <c r="H13" s="31" t="s">
        <v>68</v>
      </c>
      <c r="I13" s="33" t="s">
        <v>69</v>
      </c>
      <c r="J13" s="31" t="s">
        <v>36</v>
      </c>
      <c r="K13" s="33" t="s">
        <v>70</v>
      </c>
      <c r="L13" s="34" t="s">
        <v>20</v>
      </c>
    </row>
    <row r="14" spans="1:12" ht="12" customHeight="1">
      <c r="B14" s="58"/>
      <c r="C14" s="69"/>
      <c r="D14" s="70"/>
      <c r="E14" s="24" t="s">
        <v>71</v>
      </c>
      <c r="F14" s="35"/>
      <c r="G14" s="25" t="s">
        <v>39</v>
      </c>
      <c r="H14" s="35" t="s">
        <v>72</v>
      </c>
      <c r="I14" s="25" t="s">
        <v>37</v>
      </c>
      <c r="J14" s="35"/>
      <c r="K14" s="25"/>
      <c r="L14" s="36">
        <f>SUM(C12:L12)+C7+E7</f>
        <v>14800</v>
      </c>
    </row>
    <row r="15" spans="1:12" ht="1.5" customHeight="1">
      <c r="B15" s="37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2" customHeight="1">
      <c r="B16" s="71" t="s">
        <v>22</v>
      </c>
      <c r="C16" s="59" t="s">
        <v>23</v>
      </c>
      <c r="D16" s="60"/>
      <c r="E16" s="14" t="s">
        <v>24</v>
      </c>
      <c r="F16" s="14" t="s">
        <v>25</v>
      </c>
      <c r="G16" s="14"/>
      <c r="H16" s="15" t="s">
        <v>26</v>
      </c>
      <c r="I16" s="14" t="s">
        <v>27</v>
      </c>
      <c r="J16" s="15" t="s">
        <v>28</v>
      </c>
      <c r="K16" s="14" t="s">
        <v>29</v>
      </c>
      <c r="L16" s="16" t="s">
        <v>30</v>
      </c>
    </row>
    <row r="17" spans="1:12" ht="12" customHeight="1">
      <c r="B17" s="64"/>
      <c r="C17" s="72">
        <v>0</v>
      </c>
      <c r="D17" s="62"/>
      <c r="E17" s="38">
        <v>0</v>
      </c>
      <c r="F17" s="39">
        <v>0</v>
      </c>
      <c r="G17" s="38"/>
      <c r="H17" s="39">
        <f>SUM(C17:G17)</f>
        <v>0</v>
      </c>
      <c r="I17" s="38">
        <f>L14-K12-H17</f>
        <v>14800</v>
      </c>
      <c r="J17" s="39">
        <v>0</v>
      </c>
      <c r="K17" s="38">
        <v>0</v>
      </c>
      <c r="L17" s="36">
        <f>SUM(J17:K17)</f>
        <v>0</v>
      </c>
    </row>
    <row r="18" spans="1:12" ht="12" customHeight="1">
      <c r="B18" s="64"/>
      <c r="C18" s="59"/>
      <c r="D18" s="60"/>
      <c r="E18" s="14"/>
      <c r="F18" s="15"/>
      <c r="G18" s="14"/>
      <c r="H18" s="15"/>
      <c r="I18" s="14"/>
      <c r="J18" s="15"/>
      <c r="K18" s="14"/>
      <c r="L18" s="16" t="s">
        <v>31</v>
      </c>
    </row>
    <row r="19" spans="1:12" ht="12" customHeight="1">
      <c r="B19" s="58"/>
      <c r="C19" s="66"/>
      <c r="D19" s="62"/>
      <c r="E19" s="38"/>
      <c r="F19" s="39"/>
      <c r="G19" s="38"/>
      <c r="H19" s="39"/>
      <c r="I19" s="38"/>
      <c r="J19" s="39"/>
      <c r="K19" s="38"/>
      <c r="L19" s="36">
        <f>H17+L17</f>
        <v>0</v>
      </c>
    </row>
    <row r="20" spans="1:12" ht="1.5" customHeight="1"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ht="12" customHeight="1">
      <c r="B21" s="57" t="s">
        <v>32</v>
      </c>
      <c r="C21" s="59" t="s">
        <v>20</v>
      </c>
      <c r="D21" s="60"/>
      <c r="E21" s="14" t="s">
        <v>31</v>
      </c>
      <c r="F21" s="15"/>
      <c r="G21" s="14"/>
      <c r="H21" s="15"/>
      <c r="I21" s="14"/>
      <c r="J21" s="15"/>
      <c r="K21" s="14" t="s">
        <v>33</v>
      </c>
      <c r="L21" s="16" t="s">
        <v>34</v>
      </c>
    </row>
    <row r="22" spans="1:12" ht="12" customHeight="1">
      <c r="B22" s="58"/>
      <c r="C22" s="61">
        <f>L14</f>
        <v>14800</v>
      </c>
      <c r="D22" s="62"/>
      <c r="E22" s="38">
        <f>L19</f>
        <v>0</v>
      </c>
      <c r="F22" s="39"/>
      <c r="G22" s="38"/>
      <c r="H22" s="39"/>
      <c r="I22" s="38"/>
      <c r="J22" s="39"/>
      <c r="K22" s="38">
        <f>L22-J22</f>
        <v>14800</v>
      </c>
      <c r="L22" s="36">
        <f>C22-E22</f>
        <v>14800</v>
      </c>
    </row>
    <row r="23" spans="1:12" ht="18.75" customHeight="1"/>
    <row r="24" spans="1:12" ht="18" customHeight="1">
      <c r="A24" s="47">
        <v>2023</v>
      </c>
      <c r="B24" s="48"/>
      <c r="C24" s="2" t="s">
        <v>0</v>
      </c>
      <c r="D24" s="3"/>
      <c r="E24" s="3" t="s">
        <v>47</v>
      </c>
    </row>
    <row r="25" spans="1:12" ht="18" customHeight="1">
      <c r="B25" s="49" t="s">
        <v>2</v>
      </c>
      <c r="C25" s="50"/>
      <c r="D25" s="50"/>
      <c r="E25" s="50"/>
      <c r="F25" s="51"/>
      <c r="H25" s="4"/>
      <c r="I25" s="5"/>
      <c r="J25" s="6"/>
    </row>
    <row r="26" spans="1:12" ht="18" customHeight="1">
      <c r="B26" s="52"/>
      <c r="C26" s="48"/>
      <c r="D26" s="53" t="s">
        <v>3</v>
      </c>
      <c r="E26" s="48"/>
      <c r="F26" s="7"/>
      <c r="G26" s="41" t="s">
        <v>4</v>
      </c>
      <c r="H26" s="9"/>
    </row>
    <row r="27" spans="1:12" ht="18" customHeight="1">
      <c r="B27" s="54" t="s">
        <v>5</v>
      </c>
      <c r="C27" s="55"/>
      <c r="D27" s="56" t="s">
        <v>62</v>
      </c>
      <c r="E27" s="55"/>
      <c r="F27" s="10" t="s">
        <v>6</v>
      </c>
      <c r="G27" s="11">
        <v>5</v>
      </c>
      <c r="J27" s="12"/>
    </row>
    <row r="28" spans="1:12" ht="1.5" customHeight="1">
      <c r="B28" s="13"/>
      <c r="J28" s="12"/>
    </row>
    <row r="29" spans="1:12" ht="12" customHeight="1">
      <c r="B29" s="63" t="s">
        <v>7</v>
      </c>
      <c r="C29" s="59" t="s">
        <v>8</v>
      </c>
      <c r="D29" s="60"/>
      <c r="E29" s="14" t="s">
        <v>40</v>
      </c>
      <c r="F29" s="15"/>
      <c r="G29" s="14"/>
      <c r="H29" s="15"/>
      <c r="I29" s="14"/>
      <c r="J29" s="15"/>
      <c r="K29" s="14"/>
      <c r="L29" s="16"/>
    </row>
    <row r="30" spans="1:12" ht="12" customHeight="1">
      <c r="B30" s="64"/>
      <c r="C30" s="66">
        <f>LEFT(C31,FIND("（ｺﾏ）×",C31)-1)*RIGHT(C31,LEN(C31)-FIND("×",C31))+IF(C32&lt;&gt;"",LEFT(C32,FIND("（時間）×",C32)-1)*RIGHT(C32,LEN(C32)-FIND("×",C32)),0)</f>
        <v>0</v>
      </c>
      <c r="D30" s="62"/>
      <c r="E30" s="17">
        <f>LEFT(E31,FIND("（＋1名）×",E31)-1)*RIGHT(E31,LEN(E31)-FIND("×",E31))</f>
        <v>0</v>
      </c>
      <c r="F30" s="18"/>
      <c r="G30" s="19"/>
      <c r="H30" s="20"/>
      <c r="I30" s="19"/>
      <c r="J30" s="20"/>
      <c r="K30" s="19"/>
      <c r="L30" s="21"/>
    </row>
    <row r="31" spans="1:12" ht="12" customHeight="1">
      <c r="B31" s="64"/>
      <c r="C31" s="67" t="s">
        <v>63</v>
      </c>
      <c r="D31" s="68"/>
      <c r="E31" s="22" t="s">
        <v>43</v>
      </c>
      <c r="F31" s="23"/>
      <c r="G31" s="16"/>
      <c r="H31" s="15"/>
      <c r="I31" s="14"/>
      <c r="J31" s="15"/>
      <c r="K31" s="14"/>
      <c r="L31" s="16"/>
    </row>
    <row r="32" spans="1:12" ht="12" customHeight="1">
      <c r="B32" s="58"/>
      <c r="C32" s="73" t="s">
        <v>64</v>
      </c>
      <c r="D32" s="70"/>
      <c r="E32" s="24"/>
      <c r="F32" s="25"/>
      <c r="G32" s="21"/>
      <c r="H32" s="20"/>
      <c r="I32" s="19"/>
      <c r="J32" s="20"/>
      <c r="K32" s="19"/>
      <c r="L32" s="21"/>
    </row>
    <row r="33" spans="1:12" ht="1.5" customHeight="1">
      <c r="B33" s="26"/>
      <c r="C33" s="18"/>
      <c r="D33" s="18"/>
      <c r="E33" s="18"/>
      <c r="F33" s="27"/>
      <c r="G33" s="18"/>
      <c r="H33" s="18"/>
      <c r="I33" s="18"/>
      <c r="J33" s="18"/>
      <c r="K33" s="18"/>
      <c r="L33" s="18"/>
    </row>
    <row r="34" spans="1:12" ht="12" customHeight="1">
      <c r="A34" s="28"/>
      <c r="B34" s="63" t="s">
        <v>9</v>
      </c>
      <c r="C34" s="65" t="s">
        <v>10</v>
      </c>
      <c r="D34" s="60"/>
      <c r="E34" s="29" t="s">
        <v>11</v>
      </c>
      <c r="F34" s="15" t="s">
        <v>12</v>
      </c>
      <c r="G34" s="30" t="s">
        <v>44</v>
      </c>
      <c r="H34" s="15" t="s">
        <v>14</v>
      </c>
      <c r="I34" s="14" t="s">
        <v>15</v>
      </c>
      <c r="J34" s="14" t="s">
        <v>16</v>
      </c>
      <c r="K34" s="14" t="s">
        <v>17</v>
      </c>
      <c r="L34" s="16"/>
    </row>
    <row r="35" spans="1:12" ht="12" customHeight="1">
      <c r="B35" s="64"/>
      <c r="C35" s="66">
        <f>LEFT(C36,FIND("（ｺﾏ）×",C36)-1)*RIGHT(C36,LEN(C36)-FIND("×",C36))+IF(C37&lt;&gt;"",LEFT(C37,FIND("×",C37)-1)*RIGHT(C37,LEN(C37)-FIND("×",C37)),0)</f>
        <v>13200</v>
      </c>
      <c r="D35" s="62"/>
      <c r="E35" s="17">
        <f>LEFT(E36,FIND("（10分）×",E36)-1)*RIGHT(E36,LEN(E36)-FIND("×",E36))+LEFT(E37,FIND("（時間）×",E37)-1)*RIGHT(E37,LEN(E37)-FIND("×",E37))</f>
        <v>550</v>
      </c>
      <c r="F35" s="17">
        <f>LEFT(F36,FIND("×",F36)-1)*RIGHT(F36,LEN(F36)-FIND("×",F36))+IF(F37&lt;&gt;"",LEFT(F37,FIND("×",F37)-1)*RIGHT(F37,LEN(F37)-FIND("×",F37)),0)</f>
        <v>400</v>
      </c>
      <c r="G35" s="17">
        <f>LEFT(G36,FIND("（小6）×",G36)-1)*RIGHT(G36,LEN(G36)-FIND("×",G36))+LEFT(G37,FIND("（高3）×",G37)-1)*RIGHT(G37,LEN(G37)-FIND("×",G37))</f>
        <v>0</v>
      </c>
      <c r="H35" s="17">
        <f t="shared" ref="H35:K35" si="1">IF(H34&lt;&gt;"",LEFT(H36,FIND("×",H36)-1)*RIGHT(H36,LEN(H36)-FIND("×",H36))+IF(H37&lt;&gt;"",LEFT(H37,FIND("×",H37)-1)*RIGHT(H37,LEN(H37)-FIND("×",H37)),0),"")</f>
        <v>0</v>
      </c>
      <c r="I35" s="17">
        <f t="shared" si="1"/>
        <v>0</v>
      </c>
      <c r="J35" s="17">
        <f t="shared" si="1"/>
        <v>0</v>
      </c>
      <c r="K35" s="17">
        <f t="shared" si="1"/>
        <v>0</v>
      </c>
      <c r="L35" s="38"/>
    </row>
    <row r="36" spans="1:12" ht="12" customHeight="1">
      <c r="B36" s="64"/>
      <c r="C36" s="67" t="s">
        <v>73</v>
      </c>
      <c r="D36" s="68"/>
      <c r="E36" s="22" t="s">
        <v>74</v>
      </c>
      <c r="F36" s="31" t="s">
        <v>67</v>
      </c>
      <c r="G36" s="32" t="s">
        <v>38</v>
      </c>
      <c r="H36" s="31" t="s">
        <v>18</v>
      </c>
      <c r="I36" s="33" t="s">
        <v>19</v>
      </c>
      <c r="J36" s="31" t="s">
        <v>36</v>
      </c>
      <c r="K36" s="33" t="s">
        <v>70</v>
      </c>
      <c r="L36" s="34" t="s">
        <v>20</v>
      </c>
    </row>
    <row r="37" spans="1:12" ht="12" customHeight="1">
      <c r="B37" s="58"/>
      <c r="C37" s="69"/>
      <c r="D37" s="70"/>
      <c r="E37" s="24" t="s">
        <v>71</v>
      </c>
      <c r="F37" s="35"/>
      <c r="G37" s="25" t="s">
        <v>39</v>
      </c>
      <c r="H37" s="35" t="s">
        <v>21</v>
      </c>
      <c r="I37" s="25" t="s">
        <v>37</v>
      </c>
      <c r="J37" s="35"/>
      <c r="K37" s="25"/>
      <c r="L37" s="36">
        <f>SUM(C35:L35)+C30+E30</f>
        <v>14150</v>
      </c>
    </row>
    <row r="38" spans="1:12" ht="1.5" customHeight="1">
      <c r="B38" s="37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12" customHeight="1">
      <c r="B39" s="71" t="s">
        <v>22</v>
      </c>
      <c r="C39" s="59" t="s">
        <v>23</v>
      </c>
      <c r="D39" s="60"/>
      <c r="E39" s="14" t="s">
        <v>24</v>
      </c>
      <c r="F39" s="14" t="s">
        <v>25</v>
      </c>
      <c r="G39" s="14"/>
      <c r="H39" s="15" t="s">
        <v>26</v>
      </c>
      <c r="I39" s="14" t="s">
        <v>27</v>
      </c>
      <c r="J39" s="15" t="s">
        <v>28</v>
      </c>
      <c r="K39" s="14" t="s">
        <v>29</v>
      </c>
      <c r="L39" s="16" t="s">
        <v>30</v>
      </c>
    </row>
    <row r="40" spans="1:12" ht="12" customHeight="1">
      <c r="B40" s="64"/>
      <c r="C40" s="72">
        <v>0</v>
      </c>
      <c r="D40" s="62"/>
      <c r="E40" s="38">
        <v>0</v>
      </c>
      <c r="F40" s="39">
        <v>0</v>
      </c>
      <c r="G40" s="38"/>
      <c r="H40" s="39">
        <f>SUM(C40:G40)</f>
        <v>0</v>
      </c>
      <c r="I40" s="38">
        <f>L37-K35-H40</f>
        <v>14150</v>
      </c>
      <c r="J40" s="39">
        <v>0</v>
      </c>
      <c r="K40" s="38">
        <v>0</v>
      </c>
      <c r="L40" s="36">
        <f>SUM(J40:K40)</f>
        <v>0</v>
      </c>
    </row>
    <row r="41" spans="1:12" ht="12" customHeight="1">
      <c r="B41" s="64"/>
      <c r="C41" s="59"/>
      <c r="D41" s="60"/>
      <c r="E41" s="14"/>
      <c r="F41" s="15"/>
      <c r="G41" s="14"/>
      <c r="H41" s="15"/>
      <c r="I41" s="14"/>
      <c r="J41" s="15"/>
      <c r="K41" s="14"/>
      <c r="L41" s="16" t="s">
        <v>31</v>
      </c>
    </row>
    <row r="42" spans="1:12" ht="12" customHeight="1">
      <c r="B42" s="58"/>
      <c r="C42" s="66"/>
      <c r="D42" s="62"/>
      <c r="E42" s="38"/>
      <c r="F42" s="39"/>
      <c r="G42" s="38"/>
      <c r="H42" s="39"/>
      <c r="I42" s="38"/>
      <c r="J42" s="39"/>
      <c r="K42" s="38"/>
      <c r="L42" s="36">
        <f>H40+L40</f>
        <v>0</v>
      </c>
    </row>
    <row r="43" spans="1:12" ht="1.5" customHeight="1"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2" customHeight="1">
      <c r="B44" s="57" t="s">
        <v>32</v>
      </c>
      <c r="C44" s="59" t="s">
        <v>20</v>
      </c>
      <c r="D44" s="60"/>
      <c r="E44" s="14" t="s">
        <v>31</v>
      </c>
      <c r="F44" s="15"/>
      <c r="G44" s="14"/>
      <c r="H44" s="15"/>
      <c r="I44" s="14"/>
      <c r="J44" s="15"/>
      <c r="K44" s="14" t="s">
        <v>33</v>
      </c>
      <c r="L44" s="16" t="s">
        <v>34</v>
      </c>
    </row>
    <row r="45" spans="1:12" ht="12" customHeight="1">
      <c r="B45" s="58"/>
      <c r="C45" s="61">
        <f>L37</f>
        <v>14150</v>
      </c>
      <c r="D45" s="62"/>
      <c r="E45" s="38">
        <f>L42</f>
        <v>0</v>
      </c>
      <c r="F45" s="39"/>
      <c r="G45" s="38"/>
      <c r="H45" s="39"/>
      <c r="I45" s="38"/>
      <c r="J45" s="39"/>
      <c r="K45" s="38">
        <f>L45-J45</f>
        <v>14150</v>
      </c>
      <c r="L45" s="36">
        <f>C45-E45</f>
        <v>14150</v>
      </c>
    </row>
    <row r="46" spans="1:12" ht="18.75" customHeight="1"/>
    <row r="47" spans="1:12" ht="18.75" customHeight="1"/>
    <row r="48" spans="1:12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48">
    <mergeCell ref="C41:D41"/>
    <mergeCell ref="C42:D42"/>
    <mergeCell ref="C44:D44"/>
    <mergeCell ref="C45:D45"/>
    <mergeCell ref="B16:B19"/>
    <mergeCell ref="B21:B22"/>
    <mergeCell ref="A24:B24"/>
    <mergeCell ref="B29:B32"/>
    <mergeCell ref="B34:B37"/>
    <mergeCell ref="B39:B42"/>
    <mergeCell ref="B44:B45"/>
    <mergeCell ref="C21:D21"/>
    <mergeCell ref="C22:D22"/>
    <mergeCell ref="B25:F25"/>
    <mergeCell ref="B26:C26"/>
    <mergeCell ref="D26:E26"/>
    <mergeCell ref="C40:D40"/>
    <mergeCell ref="B27:C27"/>
    <mergeCell ref="D27:E27"/>
    <mergeCell ref="C6:D6"/>
    <mergeCell ref="C7:D7"/>
    <mergeCell ref="B6:B9"/>
    <mergeCell ref="C8:D8"/>
    <mergeCell ref="C9:D9"/>
    <mergeCell ref="C37:D37"/>
    <mergeCell ref="C39:D39"/>
    <mergeCell ref="C29:D29"/>
    <mergeCell ref="C30:D30"/>
    <mergeCell ref="C31:D31"/>
    <mergeCell ref="C32:D32"/>
    <mergeCell ref="C34:D34"/>
    <mergeCell ref="C35:D35"/>
    <mergeCell ref="C36:D36"/>
    <mergeCell ref="A1:B1"/>
    <mergeCell ref="B2:F2"/>
    <mergeCell ref="B3:C3"/>
    <mergeCell ref="D3:E3"/>
    <mergeCell ref="B4:C4"/>
    <mergeCell ref="D4:E4"/>
    <mergeCell ref="B11:B14"/>
    <mergeCell ref="C11:D11"/>
    <mergeCell ref="C12:D12"/>
    <mergeCell ref="C13:D13"/>
    <mergeCell ref="C19:D19"/>
    <mergeCell ref="C14:D14"/>
    <mergeCell ref="C16:D16"/>
    <mergeCell ref="C17:D17"/>
    <mergeCell ref="C18:D18"/>
  </mergeCells>
  <phoneticPr fontId="17"/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74"/>
  <sheetViews>
    <sheetView workbookViewId="0">
      <selection activeCell="I12" sqref="I12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47">
        <v>2023</v>
      </c>
      <c r="B2" s="48"/>
      <c r="C2" s="2" t="s">
        <v>0</v>
      </c>
      <c r="D2" s="3"/>
      <c r="E2" s="3" t="s">
        <v>127</v>
      </c>
    </row>
    <row r="3" spans="1:12" ht="18" customHeight="1">
      <c r="B3" s="49" t="s">
        <v>2</v>
      </c>
      <c r="C3" s="50"/>
      <c r="D3" s="50"/>
      <c r="E3" s="50"/>
      <c r="F3" s="51"/>
      <c r="H3" s="4"/>
      <c r="I3" s="5"/>
      <c r="J3" s="6"/>
    </row>
    <row r="4" spans="1:12" ht="18" customHeight="1">
      <c r="B4" s="52"/>
      <c r="C4" s="48"/>
      <c r="D4" s="53" t="s">
        <v>3</v>
      </c>
      <c r="E4" s="48"/>
      <c r="F4" s="7"/>
      <c r="G4" s="41" t="s">
        <v>4</v>
      </c>
      <c r="H4" s="9"/>
    </row>
    <row r="5" spans="1:12" ht="18" customHeight="1">
      <c r="B5" s="54" t="s">
        <v>5</v>
      </c>
      <c r="C5" s="55"/>
      <c r="D5" s="56" t="s">
        <v>76</v>
      </c>
      <c r="E5" s="55"/>
      <c r="F5" s="10" t="s">
        <v>6</v>
      </c>
      <c r="G5" s="11">
        <v>14</v>
      </c>
      <c r="J5" s="12"/>
    </row>
    <row r="6" spans="1:12" ht="1.5" customHeight="1">
      <c r="B6" s="13"/>
      <c r="J6" s="12"/>
    </row>
    <row r="7" spans="1:12" ht="1.5" customHeight="1">
      <c r="B7" s="26"/>
      <c r="C7" s="18"/>
      <c r="D7" s="18"/>
      <c r="E7" s="18"/>
      <c r="F7" s="27"/>
      <c r="G7" s="18"/>
      <c r="H7" s="18"/>
      <c r="I7" s="18"/>
      <c r="J7" s="18"/>
      <c r="K7" s="18"/>
      <c r="L7" s="18"/>
    </row>
    <row r="8" spans="1:12" ht="12" customHeight="1">
      <c r="A8" s="28"/>
      <c r="B8" s="63" t="s">
        <v>9</v>
      </c>
      <c r="C8" s="65" t="s">
        <v>53</v>
      </c>
      <c r="D8" s="60"/>
      <c r="E8" s="29" t="s">
        <v>11</v>
      </c>
      <c r="F8" s="15" t="s">
        <v>114</v>
      </c>
      <c r="G8" s="30" t="s">
        <v>103</v>
      </c>
      <c r="H8" s="15" t="s">
        <v>14</v>
      </c>
      <c r="I8" s="14" t="s">
        <v>15</v>
      </c>
      <c r="J8" s="14" t="s">
        <v>16</v>
      </c>
      <c r="K8" s="14" t="s">
        <v>17</v>
      </c>
      <c r="L8" s="16"/>
    </row>
    <row r="9" spans="1:12" ht="12" customHeight="1">
      <c r="B9" s="64"/>
      <c r="C9" s="66">
        <f>LEFT(C10,FIND("×",C10)-1)*RIGHT(C10,LEN(C10)-FIND("×",C10))+IF(C11&lt;&gt;"",LEFT(C11,FIND("×",C11)-1)*RIGHT(C11,LEN(C11)-FIND("×",C11)),0)</f>
        <v>37800</v>
      </c>
      <c r="D9" s="62"/>
      <c r="E9" s="17">
        <f>LEFT(E10,FIND("（10分）×",E10)-1)*RIGHT(E10,LEN(E10)-FIND("×",E10))+LEFT(E11,FIND("（時間）×",E11)-1)*RIGHT(E11,LEN(E11)-FIND("×",E11))</f>
        <v>0</v>
      </c>
      <c r="F9" s="17">
        <v>0</v>
      </c>
      <c r="G9" s="17">
        <f>LEFT(G10,FIND("（受験生）×",G10)-1)*RIGHT(G10,LEN(G10)-FIND("×",G10))+LEFT(G11,FIND("（高校生）×",G11)-1)*RIGHT(G11,LEN(G11)-FIND("×",G11))</f>
        <v>2000</v>
      </c>
      <c r="H9" s="17">
        <f t="shared" ref="H9:K9" si="0">IF(H8&lt;&gt;"",LEFT(H10,FIND("×",H10)-1)*RIGHT(H10,LEN(H10)-FIND("×",H10))+IF(H11&lt;&gt;"",LEFT(H11,FIND("×",H11)-1)*RIGHT(H11,LEN(H11)-FIND("×",H11)),0),"")</f>
        <v>0</v>
      </c>
      <c r="I9" s="17">
        <f t="shared" si="0"/>
        <v>4500</v>
      </c>
      <c r="J9" s="17">
        <f t="shared" si="0"/>
        <v>0</v>
      </c>
      <c r="K9" s="17">
        <f t="shared" si="0"/>
        <v>0</v>
      </c>
      <c r="L9" s="38"/>
    </row>
    <row r="10" spans="1:12" ht="12" customHeight="1">
      <c r="B10" s="64"/>
      <c r="C10" s="67" t="s">
        <v>136</v>
      </c>
      <c r="D10" s="68"/>
      <c r="E10" s="22" t="s">
        <v>75</v>
      </c>
      <c r="F10" s="31"/>
      <c r="G10" s="32" t="s">
        <v>137</v>
      </c>
      <c r="H10" s="31" t="s">
        <v>91</v>
      </c>
      <c r="I10" s="33" t="s">
        <v>19</v>
      </c>
      <c r="J10" s="31" t="s">
        <v>36</v>
      </c>
      <c r="K10" s="33" t="s">
        <v>70</v>
      </c>
      <c r="L10" s="34" t="s">
        <v>20</v>
      </c>
    </row>
    <row r="11" spans="1:12" ht="12" customHeight="1">
      <c r="B11" s="58"/>
      <c r="C11" s="67"/>
      <c r="D11" s="68"/>
      <c r="E11" s="24" t="s">
        <v>94</v>
      </c>
      <c r="F11" s="35"/>
      <c r="G11" s="25" t="s">
        <v>108</v>
      </c>
      <c r="H11" s="43"/>
      <c r="I11" s="25" t="s">
        <v>138</v>
      </c>
      <c r="J11" s="35"/>
      <c r="K11" s="25"/>
      <c r="L11" s="36">
        <f>SUM(C9:L9)</f>
        <v>44300</v>
      </c>
    </row>
    <row r="12" spans="1:12" ht="1.5" customHeight="1">
      <c r="B12" s="37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2" customHeight="1">
      <c r="B13" s="71" t="s">
        <v>22</v>
      </c>
      <c r="C13" s="59" t="s">
        <v>23</v>
      </c>
      <c r="D13" s="60"/>
      <c r="E13" s="14" t="s">
        <v>24</v>
      </c>
      <c r="F13" s="14" t="s">
        <v>25</v>
      </c>
      <c r="G13" s="14"/>
      <c r="H13" s="15" t="s">
        <v>26</v>
      </c>
      <c r="I13" s="14" t="s">
        <v>27</v>
      </c>
      <c r="J13" s="15" t="s">
        <v>28</v>
      </c>
      <c r="K13" s="14" t="s">
        <v>29</v>
      </c>
      <c r="L13" s="16" t="s">
        <v>30</v>
      </c>
    </row>
    <row r="14" spans="1:12" ht="12" customHeight="1">
      <c r="B14" s="64"/>
      <c r="C14" s="72">
        <v>0</v>
      </c>
      <c r="D14" s="62"/>
      <c r="E14" s="38">
        <v>0</v>
      </c>
      <c r="F14" s="39">
        <v>0</v>
      </c>
      <c r="G14" s="38"/>
      <c r="H14" s="39">
        <f>SUM(C14:G14)</f>
        <v>0</v>
      </c>
      <c r="I14" s="38">
        <f>L11-K9-H14</f>
        <v>44300</v>
      </c>
      <c r="J14" s="39">
        <v>0</v>
      </c>
      <c r="K14" s="38">
        <v>0</v>
      </c>
      <c r="L14" s="36">
        <f>SUM(J14:K14)</f>
        <v>0</v>
      </c>
    </row>
    <row r="15" spans="1:12" ht="12" customHeight="1">
      <c r="B15" s="64"/>
      <c r="C15" s="59"/>
      <c r="D15" s="60"/>
      <c r="E15" s="14"/>
      <c r="F15" s="15"/>
      <c r="G15" s="14"/>
      <c r="H15" s="15"/>
      <c r="I15" s="14"/>
      <c r="J15" s="15"/>
      <c r="K15" s="14"/>
      <c r="L15" s="16" t="s">
        <v>31</v>
      </c>
    </row>
    <row r="16" spans="1:12" ht="12" customHeight="1">
      <c r="B16" s="58"/>
      <c r="C16" s="66"/>
      <c r="D16" s="62"/>
      <c r="E16" s="38"/>
      <c r="F16" s="39"/>
      <c r="G16" s="38"/>
      <c r="H16" s="39"/>
      <c r="I16" s="38"/>
      <c r="J16" s="39"/>
      <c r="K16" s="38"/>
      <c r="L16" s="36">
        <f>H14+L14</f>
        <v>0</v>
      </c>
    </row>
    <row r="17" spans="2:12" ht="1.5" customHeight="1"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2:12" ht="12" customHeight="1">
      <c r="B18" s="57" t="s">
        <v>32</v>
      </c>
      <c r="C18" s="59" t="s">
        <v>20</v>
      </c>
      <c r="D18" s="60"/>
      <c r="E18" s="14" t="s">
        <v>31</v>
      </c>
      <c r="F18" s="15"/>
      <c r="G18" s="14"/>
      <c r="H18" s="15"/>
      <c r="I18" s="14"/>
      <c r="J18" s="15"/>
      <c r="K18" s="14" t="s">
        <v>33</v>
      </c>
      <c r="L18" s="16" t="s">
        <v>34</v>
      </c>
    </row>
    <row r="19" spans="2:12" ht="12" customHeight="1">
      <c r="B19" s="58"/>
      <c r="C19" s="61">
        <f>L11</f>
        <v>44300</v>
      </c>
      <c r="D19" s="62"/>
      <c r="E19" s="38">
        <f>L16</f>
        <v>0</v>
      </c>
      <c r="F19" s="39"/>
      <c r="G19" s="38"/>
      <c r="H19" s="39"/>
      <c r="I19" s="38"/>
      <c r="J19" s="39"/>
      <c r="K19" s="38">
        <f>L19-J19</f>
        <v>44300</v>
      </c>
      <c r="L19" s="36">
        <f>C19-E19</f>
        <v>44300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B3:F3"/>
    <mergeCell ref="B4:C4"/>
    <mergeCell ref="D4:E4"/>
    <mergeCell ref="B5:C5"/>
    <mergeCell ref="D5:E5"/>
    <mergeCell ref="C15:D15"/>
    <mergeCell ref="C16:D16"/>
    <mergeCell ref="C18:D18"/>
    <mergeCell ref="C19:D19"/>
    <mergeCell ref="C9:D9"/>
    <mergeCell ref="C10:D10"/>
    <mergeCell ref="A2:B2"/>
    <mergeCell ref="B8:B11"/>
    <mergeCell ref="B13:B16"/>
    <mergeCell ref="C8:D8"/>
    <mergeCell ref="C11:D11"/>
    <mergeCell ref="C13:D13"/>
    <mergeCell ref="C14:D14"/>
  </mergeCells>
  <phoneticPr fontId="17"/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74"/>
  <sheetViews>
    <sheetView workbookViewId="0">
      <selection activeCell="G12" sqref="G12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47">
        <v>2023</v>
      </c>
      <c r="B2" s="48"/>
      <c r="C2" s="2" t="s">
        <v>0</v>
      </c>
      <c r="D2" s="3"/>
      <c r="E2" s="3" t="s">
        <v>127</v>
      </c>
    </row>
    <row r="3" spans="1:12" ht="18" customHeight="1">
      <c r="B3" s="49" t="s">
        <v>2</v>
      </c>
      <c r="C3" s="50"/>
      <c r="D3" s="50"/>
      <c r="E3" s="50"/>
      <c r="F3" s="51"/>
      <c r="H3" s="4"/>
      <c r="I3" s="5"/>
      <c r="J3" s="6"/>
    </row>
    <row r="4" spans="1:12" ht="18" customHeight="1">
      <c r="B4" s="52"/>
      <c r="C4" s="48"/>
      <c r="D4" s="53" t="s">
        <v>3</v>
      </c>
      <c r="E4" s="48"/>
      <c r="F4" s="7"/>
      <c r="G4" s="41" t="s">
        <v>4</v>
      </c>
      <c r="H4" s="9"/>
    </row>
    <row r="5" spans="1:12" ht="18" customHeight="1">
      <c r="B5" s="54" t="s">
        <v>5</v>
      </c>
      <c r="C5" s="55"/>
      <c r="D5" s="56" t="s">
        <v>77</v>
      </c>
      <c r="E5" s="55"/>
      <c r="F5" s="10" t="s">
        <v>6</v>
      </c>
      <c r="G5" s="11">
        <v>2</v>
      </c>
      <c r="J5" s="12"/>
    </row>
    <row r="6" spans="1:12" ht="1.5" customHeight="1">
      <c r="B6" s="13"/>
      <c r="J6" s="12"/>
    </row>
    <row r="7" spans="1:12" ht="1.5" customHeight="1">
      <c r="B7" s="26"/>
      <c r="C7" s="18"/>
      <c r="D7" s="18"/>
      <c r="E7" s="18"/>
      <c r="F7" s="27"/>
      <c r="G7" s="18"/>
      <c r="H7" s="18"/>
      <c r="I7" s="18"/>
      <c r="J7" s="18"/>
      <c r="K7" s="18"/>
      <c r="L7" s="18"/>
    </row>
    <row r="8" spans="1:12" ht="12" customHeight="1">
      <c r="A8" s="28"/>
      <c r="B8" s="63" t="s">
        <v>9</v>
      </c>
      <c r="C8" s="65" t="s">
        <v>53</v>
      </c>
      <c r="D8" s="60"/>
      <c r="E8" s="29" t="s">
        <v>11</v>
      </c>
      <c r="F8" s="15" t="s">
        <v>115</v>
      </c>
      <c r="G8" s="30" t="s">
        <v>103</v>
      </c>
      <c r="H8" s="15" t="s">
        <v>14</v>
      </c>
      <c r="I8" s="14" t="s">
        <v>15</v>
      </c>
      <c r="J8" s="14" t="s">
        <v>16</v>
      </c>
      <c r="K8" s="14" t="s">
        <v>17</v>
      </c>
      <c r="L8" s="16"/>
    </row>
    <row r="9" spans="1:12" ht="12" customHeight="1">
      <c r="B9" s="64"/>
      <c r="C9" s="66">
        <f>LEFT(C10,FIND("×",C10)-1)*RIGHT(C10,LEN(C10)-FIND("×",C10))+IF(C11&lt;&gt;"",LEFT(C11,FIND("×",C11)-1)*RIGHT(C11,LEN(C11)-FIND("×",C11)),0)</f>
        <v>10800</v>
      </c>
      <c r="D9" s="62"/>
      <c r="E9" s="17">
        <f>LEFT(E10,FIND("（10分）×",E10)-1)*RIGHT(E10,LEN(E10)-FIND("×",E10))+LEFT(E11,FIND("（時間）×",E11)-1)*RIGHT(E11,LEN(E11)-FIND("×",E11))</f>
        <v>0</v>
      </c>
      <c r="F9" s="17">
        <f>LEFT(F10,FIND("×",F10)-1)*RIGHT(F10,LEN(F10)-FIND("×",F10))+IF(F11&lt;&gt;"",LEFT(F11,FIND("×",F11)-1)*RIGHT(F11,LEN(F11)-FIND("×",F11)),0)</f>
        <v>0</v>
      </c>
      <c r="G9" s="17">
        <f>LEFT(G10,FIND("（受験生）×",G10)-1)*RIGHT(G10,LEN(G10)-FIND("×",G10))+LEFT(G11,FIND("（高校生）×",G11)-1)*RIGHT(G11,LEN(G11)-FIND("×",G11))</f>
        <v>800</v>
      </c>
      <c r="H9" s="17">
        <f t="shared" ref="H9:K9" si="0">IF(H8&lt;&gt;"",LEFT(H10,FIND("×",H10)-1)*RIGHT(H10,LEN(H10)-FIND("×",H10))+IF(H11&lt;&gt;"",LEFT(H11,FIND("×",H11)-1)*RIGHT(H11,LEN(H11)-FIND("×",H11)),0),"")</f>
        <v>0</v>
      </c>
      <c r="I9" s="17">
        <f t="shared" si="0"/>
        <v>1500</v>
      </c>
      <c r="J9" s="17">
        <f t="shared" si="0"/>
        <v>0</v>
      </c>
      <c r="K9" s="17">
        <f t="shared" si="0"/>
        <v>0</v>
      </c>
      <c r="L9" s="38"/>
    </row>
    <row r="10" spans="1:12" ht="12" customHeight="1">
      <c r="B10" s="64"/>
      <c r="C10" s="67" t="s">
        <v>140</v>
      </c>
      <c r="D10" s="68"/>
      <c r="E10" s="22" t="s">
        <v>78</v>
      </c>
      <c r="F10" s="31" t="s">
        <v>113</v>
      </c>
      <c r="G10" s="32" t="s">
        <v>141</v>
      </c>
      <c r="H10" s="31" t="s">
        <v>18</v>
      </c>
      <c r="I10" s="33" t="s">
        <v>19</v>
      </c>
      <c r="J10" s="31" t="s">
        <v>109</v>
      </c>
      <c r="K10" s="33" t="s">
        <v>70</v>
      </c>
      <c r="L10" s="34" t="s">
        <v>20</v>
      </c>
    </row>
    <row r="11" spans="1:12" ht="12" customHeight="1">
      <c r="B11" s="58"/>
      <c r="C11" s="69"/>
      <c r="D11" s="62"/>
      <c r="E11" s="24" t="s">
        <v>79</v>
      </c>
      <c r="F11" s="35"/>
      <c r="G11" s="25" t="s">
        <v>142</v>
      </c>
      <c r="H11" s="35" t="s">
        <v>21</v>
      </c>
      <c r="I11" s="25" t="s">
        <v>139</v>
      </c>
      <c r="J11" s="35"/>
      <c r="K11" s="25"/>
      <c r="L11" s="36">
        <f>SUM(C9:L9)</f>
        <v>13100</v>
      </c>
    </row>
    <row r="12" spans="1:12" ht="1.5" customHeight="1">
      <c r="B12" s="37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2" customHeight="1">
      <c r="B13" s="71" t="s">
        <v>22</v>
      </c>
      <c r="C13" s="59" t="s">
        <v>23</v>
      </c>
      <c r="D13" s="60"/>
      <c r="E13" s="14" t="s">
        <v>24</v>
      </c>
      <c r="F13" s="14" t="s">
        <v>25</v>
      </c>
      <c r="G13" s="14"/>
      <c r="H13" s="15" t="s">
        <v>26</v>
      </c>
      <c r="I13" s="14" t="s">
        <v>27</v>
      </c>
      <c r="J13" s="15" t="s">
        <v>28</v>
      </c>
      <c r="K13" s="14" t="s">
        <v>29</v>
      </c>
      <c r="L13" s="16" t="s">
        <v>30</v>
      </c>
    </row>
    <row r="14" spans="1:12" ht="12" customHeight="1">
      <c r="B14" s="64"/>
      <c r="C14" s="72">
        <v>0</v>
      </c>
      <c r="D14" s="62"/>
      <c r="E14" s="38">
        <v>0</v>
      </c>
      <c r="F14" s="39">
        <v>0</v>
      </c>
      <c r="G14" s="38"/>
      <c r="H14" s="39">
        <f>SUM(C14:G14)</f>
        <v>0</v>
      </c>
      <c r="I14" s="38">
        <f>L11-K9-H14</f>
        <v>13100</v>
      </c>
      <c r="J14" s="39">
        <v>0</v>
      </c>
      <c r="K14" s="38">
        <v>0</v>
      </c>
      <c r="L14" s="36">
        <f>SUM(J14:K14)</f>
        <v>0</v>
      </c>
    </row>
    <row r="15" spans="1:12" ht="12" customHeight="1">
      <c r="B15" s="64"/>
      <c r="C15" s="59"/>
      <c r="D15" s="60"/>
      <c r="E15" s="14"/>
      <c r="F15" s="15"/>
      <c r="G15" s="14"/>
      <c r="H15" s="15"/>
      <c r="I15" s="14"/>
      <c r="J15" s="15"/>
      <c r="K15" s="14"/>
      <c r="L15" s="16" t="s">
        <v>31</v>
      </c>
    </row>
    <row r="16" spans="1:12" ht="12" customHeight="1">
      <c r="B16" s="58"/>
      <c r="C16" s="66"/>
      <c r="D16" s="62"/>
      <c r="E16" s="38"/>
      <c r="F16" s="39"/>
      <c r="G16" s="38"/>
      <c r="H16" s="39"/>
      <c r="I16" s="38"/>
      <c r="J16" s="39"/>
      <c r="K16" s="38"/>
      <c r="L16" s="36">
        <f>H14+L14</f>
        <v>0</v>
      </c>
    </row>
    <row r="17" spans="2:12" ht="1.5" customHeight="1"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2:12" ht="12" customHeight="1">
      <c r="B18" s="57" t="s">
        <v>32</v>
      </c>
      <c r="C18" s="59" t="s">
        <v>20</v>
      </c>
      <c r="D18" s="60"/>
      <c r="E18" s="14" t="s">
        <v>31</v>
      </c>
      <c r="F18" s="15"/>
      <c r="G18" s="14"/>
      <c r="H18" s="15"/>
      <c r="I18" s="14"/>
      <c r="J18" s="15"/>
      <c r="K18" s="14" t="s">
        <v>33</v>
      </c>
      <c r="L18" s="16" t="s">
        <v>34</v>
      </c>
    </row>
    <row r="19" spans="2:12" ht="12" customHeight="1">
      <c r="B19" s="58"/>
      <c r="C19" s="61">
        <f>L11</f>
        <v>13100</v>
      </c>
      <c r="D19" s="62"/>
      <c r="E19" s="38">
        <f>L16</f>
        <v>0</v>
      </c>
      <c r="F19" s="39"/>
      <c r="G19" s="38"/>
      <c r="H19" s="39"/>
      <c r="I19" s="38"/>
      <c r="J19" s="39"/>
      <c r="K19" s="38">
        <f>L19-J19</f>
        <v>13100</v>
      </c>
      <c r="L19" s="36">
        <f>C19-E19</f>
        <v>13100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B3:F3"/>
    <mergeCell ref="B4:C4"/>
    <mergeCell ref="D4:E4"/>
    <mergeCell ref="B5:C5"/>
    <mergeCell ref="D5:E5"/>
    <mergeCell ref="C15:D15"/>
    <mergeCell ref="C16:D16"/>
    <mergeCell ref="C18:D18"/>
    <mergeCell ref="C19:D19"/>
    <mergeCell ref="C9:D9"/>
    <mergeCell ref="C10:D10"/>
    <mergeCell ref="A2:B2"/>
    <mergeCell ref="B8:B11"/>
    <mergeCell ref="B13:B16"/>
    <mergeCell ref="C8:D8"/>
    <mergeCell ref="C11:D11"/>
    <mergeCell ref="C13:D13"/>
    <mergeCell ref="C14:D14"/>
  </mergeCells>
  <phoneticPr fontId="17"/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74"/>
  <sheetViews>
    <sheetView workbookViewId="0">
      <selection activeCell="G6" sqref="G6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47">
        <v>2023</v>
      </c>
      <c r="B2" s="48"/>
      <c r="C2" s="2" t="s">
        <v>0</v>
      </c>
      <c r="D2" s="3"/>
      <c r="E2" s="3" t="s">
        <v>127</v>
      </c>
    </row>
    <row r="3" spans="1:12" ht="18" customHeight="1">
      <c r="B3" s="49" t="s">
        <v>2</v>
      </c>
      <c r="C3" s="50"/>
      <c r="D3" s="50"/>
      <c r="E3" s="50"/>
      <c r="F3" s="51"/>
      <c r="H3" s="4"/>
      <c r="I3" s="5"/>
      <c r="J3" s="6"/>
    </row>
    <row r="4" spans="1:12" ht="18" customHeight="1">
      <c r="B4" s="52"/>
      <c r="C4" s="48"/>
      <c r="D4" s="53" t="s">
        <v>3</v>
      </c>
      <c r="E4" s="48"/>
      <c r="F4" s="7"/>
      <c r="G4" s="41" t="s">
        <v>4</v>
      </c>
      <c r="H4" s="9"/>
    </row>
    <row r="5" spans="1:12" ht="18" customHeight="1">
      <c r="B5" s="54" t="s">
        <v>5</v>
      </c>
      <c r="C5" s="55"/>
      <c r="D5" s="56" t="s">
        <v>80</v>
      </c>
      <c r="E5" s="55"/>
      <c r="F5" s="10" t="s">
        <v>6</v>
      </c>
      <c r="G5" s="11">
        <v>9</v>
      </c>
      <c r="J5" s="12"/>
    </row>
    <row r="6" spans="1:12" ht="1.5" customHeight="1">
      <c r="B6" s="13"/>
      <c r="J6" s="12"/>
    </row>
    <row r="7" spans="1:12" ht="1.5" customHeight="1">
      <c r="B7" s="26"/>
      <c r="C7" s="18"/>
      <c r="D7" s="18"/>
      <c r="E7" s="18"/>
      <c r="F7" s="27"/>
      <c r="G7" s="18"/>
      <c r="H7" s="18"/>
      <c r="I7" s="18"/>
      <c r="J7" s="18"/>
      <c r="K7" s="18"/>
      <c r="L7" s="18"/>
    </row>
    <row r="8" spans="1:12" ht="12" customHeight="1">
      <c r="A8" s="28"/>
      <c r="B8" s="63" t="s">
        <v>9</v>
      </c>
      <c r="C8" s="65" t="s">
        <v>53</v>
      </c>
      <c r="D8" s="60"/>
      <c r="E8" s="29" t="s">
        <v>11</v>
      </c>
      <c r="F8" s="15" t="s">
        <v>12</v>
      </c>
      <c r="G8" s="30" t="s">
        <v>13</v>
      </c>
      <c r="H8" s="15" t="s">
        <v>14</v>
      </c>
      <c r="I8" s="14" t="s">
        <v>15</v>
      </c>
      <c r="J8" s="14" t="s">
        <v>16</v>
      </c>
      <c r="K8" s="14" t="s">
        <v>17</v>
      </c>
      <c r="L8" s="16"/>
    </row>
    <row r="9" spans="1:12" ht="12" customHeight="1">
      <c r="B9" s="64"/>
      <c r="C9" s="66">
        <f>LEFT(C10,FIND("×",C10)-1)*RIGHT(C10,LEN(C10)-FIND("×",C10))+IF(C11&lt;&gt;"",LEFT(C11,FIND("×",C11)-1)*RIGHT(C11,LEN(C11)-FIND("×",C11)),0)</f>
        <v>0</v>
      </c>
      <c r="D9" s="62"/>
      <c r="E9" s="17">
        <f>LEFT(E10,FIND("（10分）×",E10)-1)*RIGHT(E10,LEN(E10)-FIND("×",E10))+LEFT(E11,FIND("（時間）×",E11)-1)*RIGHT(E11,LEN(E11)-FIND("×",E11))</f>
        <v>0</v>
      </c>
      <c r="F9" s="17">
        <f>LEFT(F10,FIND("×",F10)-1)*RIGHT(F10,LEN(F10)-FIND("×",F10))+IF(F11&lt;&gt;"",LEFT(F11,FIND("×",F11)-1)*RIGHT(F11,LEN(F11)-FIND("×",F11)),0)</f>
        <v>0</v>
      </c>
      <c r="G9" s="17">
        <f>LEFT(G10,FIND("（受験生）×",G10)-1)*RIGHT(G10,LEN(G10)-FIND("×",G10))+LEFT(G11,FIND("（高校生）×",G11)-1)*RIGHT(G11,LEN(G11)-FIND("×",G11))</f>
        <v>0</v>
      </c>
      <c r="H9" s="17">
        <f t="shared" ref="H9:K9" si="0">IF(H8&lt;&gt;"",LEFT(H10,FIND("×",H10)-1)*RIGHT(H10,LEN(H10)-FIND("×",H10))+IF(H11&lt;&gt;"",LEFT(H11,FIND("×",H11)-1)*RIGHT(H11,LEN(H11)-FIND("×",H11)),0),"")</f>
        <v>63250</v>
      </c>
      <c r="I9" s="17">
        <f t="shared" si="0"/>
        <v>0</v>
      </c>
      <c r="J9" s="17">
        <f t="shared" si="0"/>
        <v>0</v>
      </c>
      <c r="K9" s="17">
        <f t="shared" si="0"/>
        <v>0</v>
      </c>
      <c r="L9" s="38"/>
    </row>
    <row r="10" spans="1:12" ht="12" customHeight="1">
      <c r="B10" s="64"/>
      <c r="C10" s="67" t="s">
        <v>126</v>
      </c>
      <c r="D10" s="68"/>
      <c r="E10" s="22" t="s">
        <v>81</v>
      </c>
      <c r="F10" s="31" t="s">
        <v>82</v>
      </c>
      <c r="G10" s="32" t="s">
        <v>107</v>
      </c>
      <c r="H10" s="31" t="s">
        <v>156</v>
      </c>
      <c r="I10" s="33" t="s">
        <v>19</v>
      </c>
      <c r="J10" s="31" t="s">
        <v>109</v>
      </c>
      <c r="K10" s="33" t="s">
        <v>70</v>
      </c>
      <c r="L10" s="34" t="s">
        <v>20</v>
      </c>
    </row>
    <row r="11" spans="1:12" ht="12" customHeight="1">
      <c r="B11" s="58"/>
      <c r="C11" s="67"/>
      <c r="D11" s="68"/>
      <c r="E11" s="24" t="s">
        <v>83</v>
      </c>
      <c r="F11" s="35"/>
      <c r="G11" s="25" t="s">
        <v>108</v>
      </c>
      <c r="H11" s="31" t="s">
        <v>21</v>
      </c>
      <c r="I11" s="33" t="s">
        <v>37</v>
      </c>
      <c r="J11" s="35"/>
      <c r="K11" s="33"/>
      <c r="L11" s="36">
        <f>SUM(C9:L9)</f>
        <v>63250</v>
      </c>
    </row>
    <row r="12" spans="1:12" ht="1.5" customHeight="1">
      <c r="B12" s="37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2" customHeight="1">
      <c r="B13" s="71" t="s">
        <v>22</v>
      </c>
      <c r="C13" s="59" t="s">
        <v>23</v>
      </c>
      <c r="D13" s="60"/>
      <c r="E13" s="14" t="s">
        <v>24</v>
      </c>
      <c r="F13" s="14" t="s">
        <v>25</v>
      </c>
      <c r="G13" s="14"/>
      <c r="H13" s="15" t="s">
        <v>26</v>
      </c>
      <c r="I13" s="14" t="s">
        <v>27</v>
      </c>
      <c r="J13" s="15" t="s">
        <v>28</v>
      </c>
      <c r="K13" s="14" t="s">
        <v>29</v>
      </c>
      <c r="L13" s="16" t="s">
        <v>30</v>
      </c>
    </row>
    <row r="14" spans="1:12" ht="12" customHeight="1">
      <c r="B14" s="64"/>
      <c r="C14" s="72">
        <v>0</v>
      </c>
      <c r="D14" s="62"/>
      <c r="E14" s="38">
        <v>0</v>
      </c>
      <c r="F14" s="39">
        <v>0</v>
      </c>
      <c r="G14" s="38"/>
      <c r="H14" s="39">
        <f>SUM(C14:G14)</f>
        <v>0</v>
      </c>
      <c r="I14" s="38">
        <f>L11-K9-H14</f>
        <v>63250</v>
      </c>
      <c r="J14" s="39">
        <v>0</v>
      </c>
      <c r="K14" s="38">
        <v>0</v>
      </c>
      <c r="L14" s="36">
        <f>SUM(J14:K14)</f>
        <v>0</v>
      </c>
    </row>
    <row r="15" spans="1:12" ht="12" customHeight="1">
      <c r="B15" s="64"/>
      <c r="C15" s="59"/>
      <c r="D15" s="60"/>
      <c r="E15" s="14"/>
      <c r="F15" s="15"/>
      <c r="G15" s="14"/>
      <c r="H15" s="15"/>
      <c r="I15" s="14"/>
      <c r="J15" s="15"/>
      <c r="K15" s="14"/>
      <c r="L15" s="16" t="s">
        <v>31</v>
      </c>
    </row>
    <row r="16" spans="1:12" ht="12" customHeight="1">
      <c r="B16" s="58"/>
      <c r="C16" s="66"/>
      <c r="D16" s="62"/>
      <c r="E16" s="38"/>
      <c r="F16" s="39"/>
      <c r="G16" s="38"/>
      <c r="H16" s="39"/>
      <c r="I16" s="38"/>
      <c r="J16" s="39"/>
      <c r="K16" s="38"/>
      <c r="L16" s="36">
        <f>H14+L14</f>
        <v>0</v>
      </c>
    </row>
    <row r="17" spans="2:12" ht="1.5" customHeight="1"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2:12" ht="12" customHeight="1">
      <c r="B18" s="57" t="s">
        <v>32</v>
      </c>
      <c r="C18" s="59" t="s">
        <v>20</v>
      </c>
      <c r="D18" s="60"/>
      <c r="E18" s="14" t="s">
        <v>31</v>
      </c>
      <c r="F18" s="15"/>
      <c r="G18" s="14"/>
      <c r="H18" s="15"/>
      <c r="I18" s="14"/>
      <c r="J18" s="15"/>
      <c r="K18" s="14" t="s">
        <v>33</v>
      </c>
      <c r="L18" s="16" t="s">
        <v>34</v>
      </c>
    </row>
    <row r="19" spans="2:12" ht="12" customHeight="1">
      <c r="B19" s="58"/>
      <c r="C19" s="61">
        <f>L11</f>
        <v>63250</v>
      </c>
      <c r="D19" s="62"/>
      <c r="E19" s="38">
        <f>L16</f>
        <v>0</v>
      </c>
      <c r="F19" s="39"/>
      <c r="G19" s="38"/>
      <c r="H19" s="39"/>
      <c r="I19" s="38"/>
      <c r="J19" s="39"/>
      <c r="K19" s="38">
        <f>L19-J19</f>
        <v>63250</v>
      </c>
      <c r="L19" s="36">
        <f>C19-E19</f>
        <v>63250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B3:F3"/>
    <mergeCell ref="B4:C4"/>
    <mergeCell ref="D4:E4"/>
    <mergeCell ref="B5:C5"/>
    <mergeCell ref="D5:E5"/>
    <mergeCell ref="C15:D15"/>
    <mergeCell ref="C16:D16"/>
    <mergeCell ref="C18:D18"/>
    <mergeCell ref="C19:D19"/>
    <mergeCell ref="C9:D9"/>
    <mergeCell ref="C10:D10"/>
    <mergeCell ref="A2:B2"/>
    <mergeCell ref="B8:B11"/>
    <mergeCell ref="B13:B16"/>
    <mergeCell ref="C8:D8"/>
    <mergeCell ref="C11:D11"/>
    <mergeCell ref="C13:D13"/>
    <mergeCell ref="C14:D14"/>
  </mergeCells>
  <phoneticPr fontId="17"/>
  <pageMargins left="0.7" right="0.7" top="0.75" bottom="0.75" header="0" footer="0"/>
  <pageSetup orientation="landscape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96"/>
  <sheetViews>
    <sheetView workbookViewId="0">
      <selection activeCell="I11" sqref="I11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47">
        <v>2023</v>
      </c>
      <c r="B1" s="48"/>
      <c r="C1" s="2" t="s">
        <v>0</v>
      </c>
      <c r="D1" s="3"/>
      <c r="E1" s="3" t="s">
        <v>127</v>
      </c>
    </row>
    <row r="2" spans="1:12" ht="18" customHeight="1">
      <c r="B2" s="49" t="s">
        <v>2</v>
      </c>
      <c r="C2" s="50"/>
      <c r="D2" s="50"/>
      <c r="E2" s="50"/>
      <c r="F2" s="51"/>
      <c r="H2" s="4"/>
      <c r="I2" s="5"/>
      <c r="J2" s="6"/>
    </row>
    <row r="3" spans="1:12" ht="18" customHeight="1">
      <c r="B3" s="52"/>
      <c r="C3" s="48"/>
      <c r="D3" s="53" t="s">
        <v>3</v>
      </c>
      <c r="E3" s="48"/>
      <c r="F3" s="7"/>
      <c r="G3" s="41" t="s">
        <v>4</v>
      </c>
      <c r="H3" s="9"/>
    </row>
    <row r="4" spans="1:12" ht="18" customHeight="1">
      <c r="B4" s="54" t="s">
        <v>5</v>
      </c>
      <c r="C4" s="55"/>
      <c r="D4" s="56" t="s">
        <v>84</v>
      </c>
      <c r="E4" s="55"/>
      <c r="F4" s="10" t="s">
        <v>6</v>
      </c>
      <c r="G4" s="11">
        <v>13</v>
      </c>
      <c r="J4" s="12"/>
    </row>
    <row r="5" spans="1:12" ht="1.5" customHeight="1">
      <c r="B5" s="13"/>
      <c r="J5" s="12"/>
    </row>
    <row r="6" spans="1:12" ht="1.5" customHeight="1">
      <c r="B6" s="26"/>
      <c r="C6" s="18"/>
      <c r="D6" s="18"/>
      <c r="E6" s="18"/>
      <c r="F6" s="27"/>
      <c r="G6" s="18"/>
      <c r="H6" s="18"/>
      <c r="I6" s="18"/>
      <c r="J6" s="18"/>
      <c r="K6" s="18"/>
      <c r="L6" s="18"/>
    </row>
    <row r="7" spans="1:12" ht="12" customHeight="1">
      <c r="A7" s="28"/>
      <c r="B7" s="63" t="s">
        <v>9</v>
      </c>
      <c r="C7" s="65" t="s">
        <v>53</v>
      </c>
      <c r="D7" s="60"/>
      <c r="E7" s="29" t="s">
        <v>11</v>
      </c>
      <c r="F7" s="15" t="s">
        <v>114</v>
      </c>
      <c r="G7" s="30" t="s">
        <v>103</v>
      </c>
      <c r="H7" s="15" t="s">
        <v>14</v>
      </c>
      <c r="I7" s="14" t="s">
        <v>15</v>
      </c>
      <c r="J7" s="14" t="s">
        <v>16</v>
      </c>
      <c r="K7" s="14" t="s">
        <v>17</v>
      </c>
      <c r="L7" s="16"/>
    </row>
    <row r="8" spans="1:12" ht="12" customHeight="1">
      <c r="B8" s="64"/>
      <c r="C8" s="66">
        <f>LEFT(C9,FIND("×",C9)-1)*RIGHT(C9,LEN(C9)-FIND("×",C9))+IF(C10&lt;&gt;"",LEFT(C10,FIND("×",C10)-1)*RIGHT(C10,LEN(C10)-FIND("×",C10)),0)</f>
        <v>61200</v>
      </c>
      <c r="D8" s="62"/>
      <c r="E8" s="17">
        <f>LEFT(E9,FIND("（10分）×",E9)-1)*RIGHT(E9,LEN(E9)-FIND("×",E9))+LEFT(E10,FIND("（時間）×",E10)-1)*RIGHT(E10,LEN(E10)-FIND("×",E10))</f>
        <v>0</v>
      </c>
      <c r="F8" s="17">
        <v>10000</v>
      </c>
      <c r="G8" s="17">
        <f>LEFT(G9,FIND("（受験生）×",G9)-1)*RIGHT(G9,LEN(G9)-FIND("×",G9))+LEFT(G10,FIND("（高校生）×",G10)-1)*RIGHT(G10,LEN(G10)-FIND("×",G10))</f>
        <v>4800</v>
      </c>
      <c r="H8" s="17">
        <f t="shared" ref="H8:K8" si="0">IF(H7&lt;&gt;"",LEFT(H9,FIND("×",H9)-1)*RIGHT(H9,LEN(H9)-FIND("×",H9))+IF(H10&lt;&gt;"",LEFT(H10,FIND("×",H10)-1)*RIGHT(H10,LEN(H10)-FIND("×",H10)),0),"")</f>
        <v>0</v>
      </c>
      <c r="I8" s="17">
        <f t="shared" si="0"/>
        <v>5000</v>
      </c>
      <c r="J8" s="17">
        <f t="shared" si="0"/>
        <v>0</v>
      </c>
      <c r="K8" s="17">
        <f t="shared" si="0"/>
        <v>0</v>
      </c>
      <c r="L8" s="38"/>
    </row>
    <row r="9" spans="1:12" ht="12" customHeight="1">
      <c r="B9" s="64"/>
      <c r="C9" s="67" t="s">
        <v>143</v>
      </c>
      <c r="D9" s="68"/>
      <c r="E9" s="22" t="s">
        <v>81</v>
      </c>
      <c r="F9" s="31" t="s">
        <v>113</v>
      </c>
      <c r="G9" s="32" t="s">
        <v>120</v>
      </c>
      <c r="H9" s="31" t="s">
        <v>95</v>
      </c>
      <c r="I9" s="33" t="s">
        <v>19</v>
      </c>
      <c r="J9" s="31" t="s">
        <v>109</v>
      </c>
      <c r="K9" s="33" t="s">
        <v>70</v>
      </c>
      <c r="L9" s="34" t="s">
        <v>20</v>
      </c>
    </row>
    <row r="10" spans="1:12" ht="12" customHeight="1">
      <c r="B10" s="58"/>
      <c r="C10" s="67"/>
      <c r="D10" s="68"/>
      <c r="E10" s="24" t="s">
        <v>83</v>
      </c>
      <c r="F10" s="35"/>
      <c r="G10" s="25" t="s">
        <v>144</v>
      </c>
      <c r="H10" s="31" t="s">
        <v>21</v>
      </c>
      <c r="I10" s="33" t="s">
        <v>145</v>
      </c>
      <c r="J10" s="35"/>
      <c r="K10" s="33"/>
      <c r="L10" s="36">
        <f>SUM(C8:L8)</f>
        <v>81000</v>
      </c>
    </row>
    <row r="11" spans="1:12" ht="1.5" customHeight="1">
      <c r="B11" s="37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ht="12" customHeight="1">
      <c r="B12" s="71" t="s">
        <v>22</v>
      </c>
      <c r="C12" s="59" t="s">
        <v>23</v>
      </c>
      <c r="D12" s="60"/>
      <c r="E12" s="14" t="s">
        <v>24</v>
      </c>
      <c r="F12" s="14" t="s">
        <v>25</v>
      </c>
      <c r="G12" s="14"/>
      <c r="H12" s="15" t="s">
        <v>26</v>
      </c>
      <c r="I12" s="14" t="s">
        <v>27</v>
      </c>
      <c r="J12" s="15" t="s">
        <v>28</v>
      </c>
      <c r="K12" s="14" t="s">
        <v>29</v>
      </c>
      <c r="L12" s="16" t="s">
        <v>30</v>
      </c>
    </row>
    <row r="13" spans="1:12" ht="12" customHeight="1">
      <c r="B13" s="64"/>
      <c r="C13" s="72">
        <v>0</v>
      </c>
      <c r="D13" s="62"/>
      <c r="E13" s="38">
        <v>0</v>
      </c>
      <c r="F13" s="39">
        <v>0</v>
      </c>
      <c r="G13" s="38"/>
      <c r="H13" s="39">
        <f>SUM(C13:G13)</f>
        <v>0</v>
      </c>
      <c r="I13" s="38">
        <f>L10-K8-H13</f>
        <v>81000</v>
      </c>
      <c r="J13" s="39">
        <v>0</v>
      </c>
      <c r="K13" s="38">
        <v>0</v>
      </c>
      <c r="L13" s="36">
        <f>SUM(J13:K13)</f>
        <v>0</v>
      </c>
    </row>
    <row r="14" spans="1:12" ht="12" customHeight="1">
      <c r="B14" s="64"/>
      <c r="C14" s="59"/>
      <c r="D14" s="60"/>
      <c r="E14" s="14"/>
      <c r="F14" s="15"/>
      <c r="G14" s="14"/>
      <c r="H14" s="15"/>
      <c r="I14" s="14"/>
      <c r="J14" s="15"/>
      <c r="K14" s="14"/>
      <c r="L14" s="16" t="s">
        <v>31</v>
      </c>
    </row>
    <row r="15" spans="1:12" ht="12" customHeight="1">
      <c r="B15" s="58"/>
      <c r="C15" s="66"/>
      <c r="D15" s="62"/>
      <c r="E15" s="38"/>
      <c r="F15" s="39"/>
      <c r="G15" s="38"/>
      <c r="H15" s="39"/>
      <c r="I15" s="38"/>
      <c r="J15" s="39"/>
      <c r="K15" s="38"/>
      <c r="L15" s="36">
        <f>H13+L13</f>
        <v>0</v>
      </c>
    </row>
    <row r="16" spans="1:12" ht="1.5" customHeight="1">
      <c r="C16" s="40"/>
      <c r="D16" s="40"/>
      <c r="E16" s="40"/>
      <c r="F16" s="40"/>
      <c r="G16" s="40"/>
      <c r="H16" s="40"/>
      <c r="I16" s="40"/>
      <c r="J16" s="40"/>
      <c r="K16" s="40"/>
      <c r="L16" s="40"/>
    </row>
    <row r="17" spans="2:12" ht="12" customHeight="1">
      <c r="B17" s="57" t="s">
        <v>32</v>
      </c>
      <c r="C17" s="59" t="s">
        <v>20</v>
      </c>
      <c r="D17" s="60"/>
      <c r="E17" s="14" t="s">
        <v>31</v>
      </c>
      <c r="F17" s="15"/>
      <c r="G17" s="14"/>
      <c r="H17" s="15"/>
      <c r="I17" s="14"/>
      <c r="J17" s="15"/>
      <c r="K17" s="14" t="s">
        <v>33</v>
      </c>
      <c r="L17" s="16" t="s">
        <v>34</v>
      </c>
    </row>
    <row r="18" spans="2:12" ht="12" customHeight="1">
      <c r="B18" s="58"/>
      <c r="C18" s="61">
        <f>L10</f>
        <v>81000</v>
      </c>
      <c r="D18" s="62"/>
      <c r="E18" s="38">
        <f>L15</f>
        <v>0</v>
      </c>
      <c r="F18" s="39"/>
      <c r="G18" s="38"/>
      <c r="H18" s="39"/>
      <c r="I18" s="38"/>
      <c r="J18" s="39"/>
      <c r="K18" s="38">
        <f>L18-J18</f>
        <v>81000</v>
      </c>
      <c r="L18" s="36">
        <f>C18-E18</f>
        <v>81000</v>
      </c>
    </row>
    <row r="19" spans="2:12" ht="18.75" customHeight="1"/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</sheetData>
  <mergeCells count="19">
    <mergeCell ref="C14:D14"/>
    <mergeCell ref="B12:B15"/>
    <mergeCell ref="B17:B18"/>
    <mergeCell ref="C17:D17"/>
    <mergeCell ref="C18:D18"/>
    <mergeCell ref="C15:D15"/>
    <mergeCell ref="C12:D12"/>
    <mergeCell ref="C13:D13"/>
    <mergeCell ref="B7:B10"/>
    <mergeCell ref="C7:D7"/>
    <mergeCell ref="C8:D8"/>
    <mergeCell ref="C9:D9"/>
    <mergeCell ref="C10:D10"/>
    <mergeCell ref="A1:B1"/>
    <mergeCell ref="B2:F2"/>
    <mergeCell ref="B3:C3"/>
    <mergeCell ref="D3:E3"/>
    <mergeCell ref="B4:C4"/>
    <mergeCell ref="D4:E4"/>
  </mergeCells>
  <phoneticPr fontId="17"/>
  <pageMargins left="0.7" right="0.7" top="0.75" bottom="0.75" header="0" footer="0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74"/>
  <sheetViews>
    <sheetView workbookViewId="0">
      <selection activeCell="G12" sqref="G12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47">
        <v>2023</v>
      </c>
      <c r="B2" s="48"/>
      <c r="C2" s="2" t="s">
        <v>0</v>
      </c>
      <c r="D2" s="3"/>
      <c r="E2" s="3" t="s">
        <v>146</v>
      </c>
    </row>
    <row r="3" spans="1:12" ht="18" customHeight="1">
      <c r="B3" s="49" t="s">
        <v>2</v>
      </c>
      <c r="C3" s="50"/>
      <c r="D3" s="50"/>
      <c r="E3" s="50"/>
      <c r="F3" s="51"/>
      <c r="H3" s="4"/>
      <c r="I3" s="5"/>
      <c r="J3" s="6"/>
    </row>
    <row r="4" spans="1:12" ht="18" customHeight="1">
      <c r="B4" s="52"/>
      <c r="C4" s="48"/>
      <c r="D4" s="53" t="s">
        <v>3</v>
      </c>
      <c r="E4" s="48"/>
      <c r="F4" s="7"/>
      <c r="G4" s="41" t="s">
        <v>4</v>
      </c>
      <c r="H4" s="9"/>
    </row>
    <row r="5" spans="1:12" ht="18" customHeight="1">
      <c r="B5" s="54" t="s">
        <v>5</v>
      </c>
      <c r="C5" s="55"/>
      <c r="D5" s="56" t="s">
        <v>87</v>
      </c>
      <c r="E5" s="55"/>
      <c r="F5" s="10" t="s">
        <v>6</v>
      </c>
      <c r="G5" s="11">
        <v>6</v>
      </c>
      <c r="J5" s="12"/>
    </row>
    <row r="6" spans="1:12" ht="1.5" customHeight="1">
      <c r="B6" s="13"/>
      <c r="J6" s="12"/>
    </row>
    <row r="7" spans="1:12" ht="1.5" customHeight="1">
      <c r="B7" s="26"/>
      <c r="C7" s="18"/>
      <c r="D7" s="18"/>
      <c r="E7" s="18"/>
      <c r="F7" s="27"/>
      <c r="G7" s="18"/>
      <c r="H7" s="18"/>
      <c r="I7" s="18"/>
      <c r="J7" s="18"/>
      <c r="K7" s="18"/>
      <c r="L7" s="18"/>
    </row>
    <row r="8" spans="1:12" ht="12" customHeight="1">
      <c r="A8" s="28"/>
      <c r="B8" s="63" t="s">
        <v>9</v>
      </c>
      <c r="C8" s="65" t="s">
        <v>10</v>
      </c>
      <c r="D8" s="60"/>
      <c r="E8" s="29" t="s">
        <v>11</v>
      </c>
      <c r="F8" s="15" t="s">
        <v>110</v>
      </c>
      <c r="G8" s="30" t="s">
        <v>103</v>
      </c>
      <c r="H8" s="15" t="s">
        <v>14</v>
      </c>
      <c r="I8" s="14" t="s">
        <v>15</v>
      </c>
      <c r="J8" s="14" t="s">
        <v>16</v>
      </c>
      <c r="K8" s="14" t="s">
        <v>17</v>
      </c>
      <c r="L8" s="16"/>
    </row>
    <row r="9" spans="1:12" ht="12" customHeight="1">
      <c r="B9" s="64"/>
      <c r="C9" s="66">
        <f>LEFT(C10,FIND("（ｺﾏ）×",C10)-1)*RIGHT(C10,LEN(C10)-FIND("×",C10))+IF(C11&lt;&gt;"",LEFT(C11,FIND("×",C11)-1)*RIGHT(C11,LEN(C11)-FIND("×",C11)),0)</f>
        <v>25200</v>
      </c>
      <c r="D9" s="62"/>
      <c r="E9" s="17">
        <f>LEFT(E10,FIND("（10分）×",E10)-1)*RIGHT(E10,LEN(E10)-FIND("×",E10))+LEFT(E11,FIND("（時間）×",E11)-1)*RIGHT(E11,LEN(E11)-FIND("×",E11))</f>
        <v>0</v>
      </c>
      <c r="F9" s="17">
        <f>LEFT(F10,FIND("×",F10)-1)*RIGHT(F10,LEN(F10)-FIND("×",F10))+IF(F11&lt;&gt;"",LEFT(F11,FIND("×",F11)-1)*RIGHT(F11,LEN(F11)-FIND("×",F11)),0)</f>
        <v>0</v>
      </c>
      <c r="G9" s="17">
        <f>LEFT(G10,FIND("（受験生）×",G10)-1)*RIGHT(G10,LEN(G10)-FIND("×",G10))+LEFT(G11,FIND("（高校生）×",G11)-1)*RIGHT(G11,LEN(G11)-FIND("×",G11))</f>
        <v>1800</v>
      </c>
      <c r="H9" s="17">
        <f t="shared" ref="H9:K9" si="0">IF(H8&lt;&gt;"",LEFT(H10,FIND("×",H10)-1)*RIGHT(H10,LEN(H10)-FIND("×",H10))+IF(H11&lt;&gt;"",LEFT(H11,FIND("×",H11)-1)*RIGHT(H11,LEN(H11)-FIND("×",H11)),0),"")</f>
        <v>0</v>
      </c>
      <c r="I9" s="17">
        <f t="shared" si="0"/>
        <v>0</v>
      </c>
      <c r="J9" s="17">
        <f t="shared" si="0"/>
        <v>0</v>
      </c>
      <c r="K9" s="17">
        <f t="shared" si="0"/>
        <v>0</v>
      </c>
      <c r="L9" s="38"/>
    </row>
    <row r="10" spans="1:12" ht="12" customHeight="1">
      <c r="B10" s="64"/>
      <c r="C10" s="67" t="s">
        <v>147</v>
      </c>
      <c r="D10" s="68"/>
      <c r="E10" s="22" t="s">
        <v>88</v>
      </c>
      <c r="F10" s="31" t="s">
        <v>102</v>
      </c>
      <c r="G10" s="32" t="s">
        <v>148</v>
      </c>
      <c r="H10" s="31" t="s">
        <v>111</v>
      </c>
      <c r="I10" s="33" t="s">
        <v>19</v>
      </c>
      <c r="J10" s="31" t="s">
        <v>109</v>
      </c>
      <c r="K10" s="33" t="s">
        <v>70</v>
      </c>
      <c r="L10" s="34" t="s">
        <v>20</v>
      </c>
    </row>
    <row r="11" spans="1:12" ht="12" customHeight="1">
      <c r="B11" s="58"/>
      <c r="C11" s="69"/>
      <c r="D11" s="70"/>
      <c r="E11" s="24" t="s">
        <v>89</v>
      </c>
      <c r="F11" s="35"/>
      <c r="G11" s="25" t="s">
        <v>149</v>
      </c>
      <c r="H11" s="20"/>
      <c r="I11" s="25" t="s">
        <v>37</v>
      </c>
      <c r="J11" s="35"/>
      <c r="K11" s="25"/>
      <c r="L11" s="36">
        <f>SUM(C9:L9)</f>
        <v>27000</v>
      </c>
    </row>
    <row r="12" spans="1:12" ht="1.5" customHeight="1">
      <c r="B12" s="37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2" customHeight="1">
      <c r="B13" s="71" t="s">
        <v>22</v>
      </c>
      <c r="C13" s="59" t="s">
        <v>23</v>
      </c>
      <c r="D13" s="60"/>
      <c r="E13" s="14" t="s">
        <v>24</v>
      </c>
      <c r="F13" s="14" t="s">
        <v>25</v>
      </c>
      <c r="G13" s="14"/>
      <c r="H13" s="15" t="s">
        <v>26</v>
      </c>
      <c r="I13" s="14" t="s">
        <v>27</v>
      </c>
      <c r="J13" s="15" t="s">
        <v>28</v>
      </c>
      <c r="K13" s="14" t="s">
        <v>29</v>
      </c>
      <c r="L13" s="16" t="s">
        <v>30</v>
      </c>
    </row>
    <row r="14" spans="1:12" ht="12" customHeight="1">
      <c r="B14" s="64"/>
      <c r="C14" s="72">
        <v>0</v>
      </c>
      <c r="D14" s="62"/>
      <c r="E14" s="38">
        <v>0</v>
      </c>
      <c r="F14" s="39">
        <v>0</v>
      </c>
      <c r="G14" s="38"/>
      <c r="H14" s="39">
        <f>SUM(C14:G14)</f>
        <v>0</v>
      </c>
      <c r="I14" s="38">
        <f>L11-K9-H14</f>
        <v>27000</v>
      </c>
      <c r="J14" s="39">
        <v>0</v>
      </c>
      <c r="K14" s="38">
        <v>0</v>
      </c>
      <c r="L14" s="36">
        <f>SUM(J14:K14)</f>
        <v>0</v>
      </c>
    </row>
    <row r="15" spans="1:12" ht="12" customHeight="1">
      <c r="B15" s="64"/>
      <c r="C15" s="59"/>
      <c r="D15" s="60"/>
      <c r="E15" s="14"/>
      <c r="F15" s="15"/>
      <c r="G15" s="14"/>
      <c r="H15" s="15"/>
      <c r="I15" s="14"/>
      <c r="J15" s="15"/>
      <c r="K15" s="14"/>
      <c r="L15" s="16" t="s">
        <v>31</v>
      </c>
    </row>
    <row r="16" spans="1:12" ht="12" customHeight="1">
      <c r="B16" s="58"/>
      <c r="C16" s="66"/>
      <c r="D16" s="62"/>
      <c r="E16" s="38"/>
      <c r="F16" s="39"/>
      <c r="G16" s="38"/>
      <c r="H16" s="39"/>
      <c r="I16" s="38"/>
      <c r="J16" s="39"/>
      <c r="K16" s="38"/>
      <c r="L16" s="36">
        <f>H14+L14</f>
        <v>0</v>
      </c>
    </row>
    <row r="17" spans="2:12" ht="1.5" customHeight="1"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2:12" ht="12" customHeight="1">
      <c r="B18" s="57" t="s">
        <v>32</v>
      </c>
      <c r="C18" s="59" t="s">
        <v>20</v>
      </c>
      <c r="D18" s="60"/>
      <c r="E18" s="14" t="s">
        <v>31</v>
      </c>
      <c r="F18" s="15"/>
      <c r="G18" s="14"/>
      <c r="H18" s="15"/>
      <c r="I18" s="14"/>
      <c r="J18" s="15"/>
      <c r="K18" s="14" t="s">
        <v>33</v>
      </c>
      <c r="L18" s="16" t="s">
        <v>34</v>
      </c>
    </row>
    <row r="19" spans="2:12" ht="12" customHeight="1">
      <c r="B19" s="58"/>
      <c r="C19" s="61">
        <f>L11</f>
        <v>27000</v>
      </c>
      <c r="D19" s="62"/>
      <c r="E19" s="38">
        <f>L16</f>
        <v>0</v>
      </c>
      <c r="F19" s="39"/>
      <c r="G19" s="38"/>
      <c r="H19" s="39"/>
      <c r="I19" s="38"/>
      <c r="J19" s="39"/>
      <c r="K19" s="38">
        <f>L19-J19</f>
        <v>27000</v>
      </c>
      <c r="L19" s="36">
        <f>C19-E19</f>
        <v>27000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C9:D9"/>
    <mergeCell ref="C10:D10"/>
    <mergeCell ref="C15:D15"/>
    <mergeCell ref="C16:D16"/>
    <mergeCell ref="C18:D18"/>
    <mergeCell ref="C19:D19"/>
    <mergeCell ref="A2:B2"/>
    <mergeCell ref="B8:B11"/>
    <mergeCell ref="B13:B16"/>
    <mergeCell ref="B18:B19"/>
    <mergeCell ref="B3:F3"/>
    <mergeCell ref="B4:C4"/>
    <mergeCell ref="D4:E4"/>
    <mergeCell ref="C14:D14"/>
    <mergeCell ref="B5:C5"/>
    <mergeCell ref="D5:E5"/>
    <mergeCell ref="C11:D11"/>
    <mergeCell ref="C13:D13"/>
    <mergeCell ref="C8:D8"/>
  </mergeCells>
  <phoneticPr fontId="17"/>
  <pageMargins left="0.7" right="0.7" top="0.75" bottom="0.75" header="0" footer="0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74"/>
  <sheetViews>
    <sheetView workbookViewId="0">
      <selection activeCell="I11" sqref="I11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1">
        <v>2023</v>
      </c>
      <c r="B2" s="1"/>
      <c r="C2" s="2" t="s">
        <v>0</v>
      </c>
      <c r="D2" s="3"/>
      <c r="E2" s="3" t="s">
        <v>146</v>
      </c>
    </row>
    <row r="3" spans="1:12" ht="18" customHeight="1">
      <c r="B3" s="49" t="s">
        <v>2</v>
      </c>
      <c r="C3" s="50"/>
      <c r="D3" s="50"/>
      <c r="E3" s="50"/>
      <c r="F3" s="51"/>
      <c r="H3" s="4"/>
      <c r="I3" s="5"/>
      <c r="J3" s="6"/>
    </row>
    <row r="4" spans="1:12" ht="18" customHeight="1">
      <c r="B4" s="52"/>
      <c r="C4" s="48"/>
      <c r="D4" s="53" t="s">
        <v>3</v>
      </c>
      <c r="E4" s="48"/>
      <c r="F4" s="7"/>
      <c r="G4" s="41" t="s">
        <v>4</v>
      </c>
    </row>
    <row r="5" spans="1:12" ht="18" customHeight="1">
      <c r="B5" s="54" t="s">
        <v>5</v>
      </c>
      <c r="C5" s="55"/>
      <c r="D5" s="56" t="s">
        <v>97</v>
      </c>
      <c r="E5" s="55"/>
      <c r="F5" s="10" t="s">
        <v>6</v>
      </c>
      <c r="G5" s="11">
        <v>7</v>
      </c>
      <c r="J5" s="12"/>
    </row>
    <row r="6" spans="1:12" ht="1.5" customHeight="1">
      <c r="B6" s="13"/>
      <c r="J6" s="12"/>
    </row>
    <row r="7" spans="1:12" ht="1.5" customHeight="1">
      <c r="B7" s="26"/>
      <c r="C7" s="18"/>
      <c r="D7" s="18"/>
      <c r="E7" s="18"/>
      <c r="F7" s="27"/>
      <c r="G7" s="18"/>
      <c r="H7" s="18"/>
      <c r="I7" s="18"/>
      <c r="J7" s="18"/>
      <c r="K7" s="18"/>
      <c r="L7" s="18"/>
    </row>
    <row r="8" spans="1:12" ht="12" customHeight="1">
      <c r="A8" s="28"/>
      <c r="B8" s="71" t="s">
        <v>52</v>
      </c>
      <c r="C8" s="65" t="s">
        <v>53</v>
      </c>
      <c r="D8" s="60"/>
      <c r="E8" s="29" t="s">
        <v>54</v>
      </c>
      <c r="F8" s="15" t="s">
        <v>112</v>
      </c>
      <c r="G8" s="30" t="s">
        <v>103</v>
      </c>
      <c r="H8" s="15" t="s">
        <v>14</v>
      </c>
      <c r="I8" s="14" t="s">
        <v>15</v>
      </c>
      <c r="J8" s="14" t="s">
        <v>16</v>
      </c>
      <c r="K8" s="14" t="s">
        <v>17</v>
      </c>
      <c r="L8" s="16"/>
    </row>
    <row r="9" spans="1:12" ht="12" customHeight="1">
      <c r="B9" s="64"/>
      <c r="C9" s="66">
        <f>LEFT(C10,FIND("×",C10)-1)*RIGHT(C10,LEN(C10)-FIND("×",C10))+IF(C11&lt;&gt;"",LEFT(C11,FIND("×",C11)-1)*RIGHT(C11,LEN(C11)-FIND("×",C11)),0)</f>
        <v>18000</v>
      </c>
      <c r="D9" s="62"/>
      <c r="E9" s="17">
        <f>LEFT(E10,FIND("（10分）×",E10)-1)*RIGHT(E10,LEN(E10)-FIND("×",E10))+LEFT(E11,FIND("（60分）×",E11)-1)*RIGHT(E11,LEN(E11)-FIND("×",E11))</f>
        <v>0</v>
      </c>
      <c r="F9" s="17">
        <v>5000</v>
      </c>
      <c r="G9" s="17">
        <f>LEFT(G10,FIND("（受験生）×",G10)-1)*RIGHT(G10,LEN(G10)-FIND("×",G10))+LEFT(G11,FIND("（高校生）×",G11)-1)*RIGHT(G11,LEN(G11)-FIND("×",G11))</f>
        <v>3400</v>
      </c>
      <c r="H9" s="17">
        <f t="shared" ref="H9:K9" si="0">IF(H8&lt;&gt;"",LEFT(H10,FIND("×",H10)-1)*RIGHT(H10,LEN(H10)-FIND("×",H10))+IF(H11&lt;&gt;"",LEFT(H11,FIND("×",H11)-1)*RIGHT(H11,LEN(H11)-FIND("×",H11)),0),"")</f>
        <v>0</v>
      </c>
      <c r="I9" s="17">
        <f t="shared" si="0"/>
        <v>2500</v>
      </c>
      <c r="J9" s="17">
        <f t="shared" si="0"/>
        <v>0</v>
      </c>
      <c r="K9" s="17">
        <f t="shared" si="0"/>
        <v>0</v>
      </c>
      <c r="L9" s="38"/>
    </row>
    <row r="10" spans="1:12" ht="12" customHeight="1">
      <c r="B10" s="64"/>
      <c r="C10" s="67" t="s">
        <v>150</v>
      </c>
      <c r="D10" s="68"/>
      <c r="E10" s="22" t="s">
        <v>85</v>
      </c>
      <c r="F10" s="31" t="s">
        <v>113</v>
      </c>
      <c r="G10" s="32" t="s">
        <v>121</v>
      </c>
      <c r="H10" s="31" t="s">
        <v>111</v>
      </c>
      <c r="I10" s="33" t="s">
        <v>152</v>
      </c>
      <c r="J10" s="31" t="s">
        <v>109</v>
      </c>
      <c r="K10" s="33" t="s">
        <v>70</v>
      </c>
      <c r="L10" s="34" t="s">
        <v>20</v>
      </c>
    </row>
    <row r="11" spans="1:12" ht="12" customHeight="1">
      <c r="B11" s="58"/>
      <c r="C11" s="69"/>
      <c r="D11" s="70"/>
      <c r="E11" s="24" t="s">
        <v>86</v>
      </c>
      <c r="F11" s="35"/>
      <c r="G11" s="25" t="s">
        <v>151</v>
      </c>
      <c r="H11" s="20"/>
      <c r="I11" s="25"/>
      <c r="J11" s="35"/>
      <c r="K11" s="25"/>
      <c r="L11" s="36">
        <f>SUM(C9:L9)</f>
        <v>28900</v>
      </c>
    </row>
    <row r="12" spans="1:12" ht="1.5" customHeight="1">
      <c r="B12" s="37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2" customHeight="1">
      <c r="B13" s="71" t="s">
        <v>22</v>
      </c>
      <c r="C13" s="59" t="s">
        <v>23</v>
      </c>
      <c r="D13" s="60"/>
      <c r="E13" s="14" t="s">
        <v>24</v>
      </c>
      <c r="F13" s="14" t="s">
        <v>25</v>
      </c>
      <c r="G13" s="14"/>
      <c r="H13" s="15" t="s">
        <v>26</v>
      </c>
      <c r="I13" s="14" t="s">
        <v>27</v>
      </c>
      <c r="J13" s="15" t="s">
        <v>28</v>
      </c>
      <c r="K13" s="14" t="s">
        <v>29</v>
      </c>
      <c r="L13" s="16" t="s">
        <v>30</v>
      </c>
    </row>
    <row r="14" spans="1:12" ht="12" customHeight="1">
      <c r="B14" s="64"/>
      <c r="C14" s="72">
        <v>0</v>
      </c>
      <c r="D14" s="62"/>
      <c r="E14" s="38">
        <v>0</v>
      </c>
      <c r="F14" s="39">
        <v>0</v>
      </c>
      <c r="G14" s="38"/>
      <c r="H14" s="39">
        <f>SUM(C14:G14)</f>
        <v>0</v>
      </c>
      <c r="I14" s="38">
        <f>L11-K9-H14</f>
        <v>28900</v>
      </c>
      <c r="J14" s="39">
        <v>0</v>
      </c>
      <c r="K14" s="38">
        <v>0</v>
      </c>
      <c r="L14" s="36">
        <f>SUM(J14:K14)</f>
        <v>0</v>
      </c>
    </row>
    <row r="15" spans="1:12" ht="12" customHeight="1">
      <c r="B15" s="64"/>
      <c r="C15" s="59"/>
      <c r="D15" s="60"/>
      <c r="E15" s="14"/>
      <c r="F15" s="15"/>
      <c r="G15" s="14"/>
      <c r="H15" s="15"/>
      <c r="I15" s="14"/>
      <c r="J15" s="15"/>
      <c r="K15" s="14"/>
      <c r="L15" s="16" t="s">
        <v>31</v>
      </c>
    </row>
    <row r="16" spans="1:12" ht="12" customHeight="1">
      <c r="B16" s="58"/>
      <c r="C16" s="66"/>
      <c r="D16" s="62"/>
      <c r="E16" s="38"/>
      <c r="F16" s="39"/>
      <c r="G16" s="38"/>
      <c r="H16" s="39"/>
      <c r="I16" s="38"/>
      <c r="J16" s="39"/>
      <c r="K16" s="38"/>
      <c r="L16" s="36">
        <f>H14+L14</f>
        <v>0</v>
      </c>
    </row>
    <row r="17" spans="2:12" ht="1.5" customHeight="1"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2:12" ht="12" customHeight="1">
      <c r="B18" s="57" t="s">
        <v>32</v>
      </c>
      <c r="C18" s="59" t="s">
        <v>20</v>
      </c>
      <c r="D18" s="60"/>
      <c r="E18" s="14" t="s">
        <v>31</v>
      </c>
      <c r="F18" s="15"/>
      <c r="G18" s="14"/>
      <c r="H18" s="15"/>
      <c r="I18" s="14"/>
      <c r="J18" s="15"/>
      <c r="K18" s="14" t="s">
        <v>33</v>
      </c>
      <c r="L18" s="16" t="s">
        <v>34</v>
      </c>
    </row>
    <row r="19" spans="2:12" ht="12" customHeight="1">
      <c r="B19" s="58"/>
      <c r="C19" s="61">
        <f>L11</f>
        <v>28900</v>
      </c>
      <c r="D19" s="62"/>
      <c r="E19" s="38">
        <f>L16</f>
        <v>0</v>
      </c>
      <c r="F19" s="39"/>
      <c r="G19" s="38"/>
      <c r="H19" s="39"/>
      <c r="I19" s="38"/>
      <c r="J19" s="39"/>
      <c r="K19" s="38">
        <f>L19-J19</f>
        <v>28900</v>
      </c>
      <c r="L19" s="36">
        <f>C19-E19</f>
        <v>28900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8">
    <mergeCell ref="C13:D13"/>
    <mergeCell ref="C14:D14"/>
    <mergeCell ref="B8:B11"/>
    <mergeCell ref="B13:B16"/>
    <mergeCell ref="B18:B19"/>
    <mergeCell ref="C18:D18"/>
    <mergeCell ref="C19:D19"/>
    <mergeCell ref="C8:D8"/>
    <mergeCell ref="C15:D15"/>
    <mergeCell ref="C16:D16"/>
    <mergeCell ref="C9:D9"/>
    <mergeCell ref="C10:D10"/>
    <mergeCell ref="C11:D11"/>
    <mergeCell ref="B3:F3"/>
    <mergeCell ref="B4:C4"/>
    <mergeCell ref="D4:E4"/>
    <mergeCell ref="B5:C5"/>
    <mergeCell ref="D5:E5"/>
  </mergeCells>
  <phoneticPr fontId="17"/>
  <pageMargins left="0.7" right="0.7" top="0.75" bottom="0.75" header="0" footer="0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974"/>
  <sheetViews>
    <sheetView workbookViewId="0">
      <selection activeCell="I12" sqref="I12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47">
        <v>2023</v>
      </c>
      <c r="B2" s="48"/>
      <c r="C2" s="2" t="s">
        <v>0</v>
      </c>
      <c r="D2" s="3"/>
      <c r="E2" s="3" t="s">
        <v>127</v>
      </c>
    </row>
    <row r="3" spans="1:12" ht="18" customHeight="1">
      <c r="B3" s="49" t="s">
        <v>2</v>
      </c>
      <c r="C3" s="50"/>
      <c r="D3" s="50"/>
      <c r="E3" s="50"/>
      <c r="F3" s="51"/>
      <c r="H3" s="4"/>
      <c r="I3" s="5"/>
      <c r="J3" s="6"/>
    </row>
    <row r="4" spans="1:12" ht="18" customHeight="1">
      <c r="B4" s="52"/>
      <c r="C4" s="48"/>
      <c r="D4" s="53" t="s">
        <v>3</v>
      </c>
      <c r="E4" s="48"/>
      <c r="F4" s="7"/>
      <c r="G4" s="41" t="s">
        <v>4</v>
      </c>
      <c r="H4" s="9"/>
    </row>
    <row r="5" spans="1:12" ht="18" customHeight="1">
      <c r="B5" s="54" t="s">
        <v>5</v>
      </c>
      <c r="C5" s="55"/>
      <c r="D5" s="56" t="s">
        <v>96</v>
      </c>
      <c r="E5" s="55"/>
      <c r="F5" s="10" t="s">
        <v>6</v>
      </c>
      <c r="G5" s="11">
        <v>9</v>
      </c>
      <c r="J5" s="12"/>
    </row>
    <row r="6" spans="1:12" ht="1.5" customHeight="1">
      <c r="B6" s="13"/>
      <c r="J6" s="12"/>
    </row>
    <row r="7" spans="1:12" ht="1.5" customHeight="1">
      <c r="B7" s="26"/>
      <c r="C7" s="18"/>
      <c r="D7" s="18"/>
      <c r="E7" s="18"/>
      <c r="F7" s="27"/>
      <c r="G7" s="18"/>
      <c r="H7" s="18"/>
      <c r="I7" s="18"/>
      <c r="J7" s="18"/>
      <c r="K7" s="18"/>
      <c r="L7" s="18"/>
    </row>
    <row r="8" spans="1:12" ht="12" customHeight="1">
      <c r="A8" s="28"/>
      <c r="B8" s="63" t="s">
        <v>9</v>
      </c>
      <c r="C8" s="65" t="s">
        <v>10</v>
      </c>
      <c r="D8" s="60"/>
      <c r="E8" s="29" t="s">
        <v>11</v>
      </c>
      <c r="F8" s="15" t="s">
        <v>112</v>
      </c>
      <c r="G8" s="30" t="s">
        <v>103</v>
      </c>
      <c r="H8" s="15" t="s">
        <v>14</v>
      </c>
      <c r="I8" s="14" t="s">
        <v>15</v>
      </c>
      <c r="J8" s="14" t="s">
        <v>16</v>
      </c>
      <c r="K8" s="14" t="s">
        <v>17</v>
      </c>
      <c r="L8" s="16"/>
    </row>
    <row r="9" spans="1:12" ht="12" customHeight="1">
      <c r="B9" s="64"/>
      <c r="C9" s="66">
        <f>LEFT(C10,FIND("（ｺﾏ）×",C10)-1)*RIGHT(C10,LEN(C10)-FIND("×",C10))+IF(C11&lt;&gt;"",LEFT(C11,FIND("×",C11)-1)*RIGHT(C11,LEN(C11)-FIND("×",C11)),0)</f>
        <v>46800</v>
      </c>
      <c r="D9" s="62"/>
      <c r="E9" s="17">
        <f>LEFT(E10,FIND("（10分）×",E10)-1)*RIGHT(E10,LEN(E10)-FIND("×",E10))+LEFT(E11,FIND("（時間）×",E11)-1)*RIGHT(E11,LEN(E11)-FIND("×",E11))</f>
        <v>0</v>
      </c>
      <c r="F9" s="17">
        <v>10000</v>
      </c>
      <c r="G9" s="17">
        <f>LEFT(G10,FIND("（受験生）×",G10)-1)*RIGHT(G10,LEN(G10)-FIND("×",G10))+LEFT(G11,FIND("（高校生）×",G11)-1)*RIGHT(G11,LEN(G11)-FIND("×",G11))</f>
        <v>4200</v>
      </c>
      <c r="H9" s="17">
        <f t="shared" ref="H9:K9" si="0">IF(H8&lt;&gt;"",LEFT(H10,FIND("×",H10)-1)*RIGHT(H10,LEN(H10)-FIND("×",H10))+IF(H11&lt;&gt;"",LEFT(H11,FIND("×",H11)-1)*RIGHT(H11,LEN(H11)-FIND("×",H11)),0),"")</f>
        <v>0</v>
      </c>
      <c r="I9" s="17">
        <f t="shared" si="0"/>
        <v>2000</v>
      </c>
      <c r="J9" s="17">
        <f t="shared" si="0"/>
        <v>0</v>
      </c>
      <c r="K9" s="17">
        <f t="shared" si="0"/>
        <v>0</v>
      </c>
      <c r="L9" s="38"/>
    </row>
    <row r="10" spans="1:12" ht="12" customHeight="1">
      <c r="B10" s="64"/>
      <c r="C10" s="67" t="s">
        <v>153</v>
      </c>
      <c r="D10" s="68"/>
      <c r="E10" s="22" t="s">
        <v>78</v>
      </c>
      <c r="F10" s="31" t="s">
        <v>113</v>
      </c>
      <c r="G10" s="32" t="s">
        <v>122</v>
      </c>
      <c r="H10" s="31" t="s">
        <v>111</v>
      </c>
      <c r="I10" s="33" t="s">
        <v>19</v>
      </c>
      <c r="J10" s="31" t="s">
        <v>109</v>
      </c>
      <c r="K10" s="33" t="s">
        <v>102</v>
      </c>
      <c r="L10" s="34" t="s">
        <v>20</v>
      </c>
    </row>
    <row r="11" spans="1:12" ht="12" customHeight="1">
      <c r="B11" s="58"/>
      <c r="C11" s="69"/>
      <c r="D11" s="70"/>
      <c r="E11" s="24" t="s">
        <v>90</v>
      </c>
      <c r="F11" s="35"/>
      <c r="G11" s="25" t="s">
        <v>154</v>
      </c>
      <c r="H11" s="20"/>
      <c r="I11" s="25" t="s">
        <v>155</v>
      </c>
      <c r="J11" s="35"/>
      <c r="K11" s="25"/>
      <c r="L11" s="36">
        <f>SUM(C9:L9)</f>
        <v>63000</v>
      </c>
    </row>
    <row r="12" spans="1:12" ht="1.5" customHeight="1">
      <c r="B12" s="37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ht="12" customHeight="1">
      <c r="B13" s="71" t="s">
        <v>22</v>
      </c>
      <c r="C13" s="59" t="s">
        <v>23</v>
      </c>
      <c r="D13" s="60"/>
      <c r="E13" s="14" t="s">
        <v>24</v>
      </c>
      <c r="F13" s="14" t="s">
        <v>25</v>
      </c>
      <c r="G13" s="14"/>
      <c r="H13" s="15" t="s">
        <v>26</v>
      </c>
      <c r="I13" s="14" t="s">
        <v>27</v>
      </c>
      <c r="J13" s="15" t="s">
        <v>28</v>
      </c>
      <c r="K13" s="14" t="s">
        <v>29</v>
      </c>
      <c r="L13" s="16" t="s">
        <v>30</v>
      </c>
    </row>
    <row r="14" spans="1:12" ht="12" customHeight="1">
      <c r="B14" s="64"/>
      <c r="C14" s="72">
        <v>0</v>
      </c>
      <c r="D14" s="62"/>
      <c r="E14" s="38">
        <v>0</v>
      </c>
      <c r="F14" s="39">
        <v>0</v>
      </c>
      <c r="G14" s="38"/>
      <c r="H14" s="39">
        <f>SUM(C14:G14)</f>
        <v>0</v>
      </c>
      <c r="I14" s="38">
        <f>L11-K9-H14</f>
        <v>63000</v>
      </c>
      <c r="J14" s="39">
        <v>0</v>
      </c>
      <c r="K14" s="38">
        <v>0</v>
      </c>
      <c r="L14" s="36">
        <f>SUM(J14:K14)</f>
        <v>0</v>
      </c>
    </row>
    <row r="15" spans="1:12" ht="12" customHeight="1">
      <c r="B15" s="64"/>
      <c r="C15" s="59"/>
      <c r="D15" s="60"/>
      <c r="E15" s="14"/>
      <c r="F15" s="15"/>
      <c r="G15" s="14"/>
      <c r="H15" s="15"/>
      <c r="I15" s="14"/>
      <c r="J15" s="15"/>
      <c r="K15" s="14"/>
      <c r="L15" s="16" t="s">
        <v>31</v>
      </c>
    </row>
    <row r="16" spans="1:12" ht="12" customHeight="1">
      <c r="B16" s="58"/>
      <c r="C16" s="66"/>
      <c r="D16" s="62"/>
      <c r="E16" s="38"/>
      <c r="F16" s="39"/>
      <c r="G16" s="38"/>
      <c r="H16" s="39"/>
      <c r="I16" s="38"/>
      <c r="J16" s="39"/>
      <c r="K16" s="38"/>
      <c r="L16" s="36">
        <f>H14+L14</f>
        <v>0</v>
      </c>
    </row>
    <row r="17" spans="2:12" ht="1.5" customHeight="1"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2:12" ht="12" customHeight="1">
      <c r="B18" s="57" t="s">
        <v>32</v>
      </c>
      <c r="C18" s="59" t="s">
        <v>20</v>
      </c>
      <c r="D18" s="60"/>
      <c r="E18" s="14" t="s">
        <v>31</v>
      </c>
      <c r="F18" s="15"/>
      <c r="G18" s="14"/>
      <c r="H18" s="15"/>
      <c r="I18" s="14"/>
      <c r="J18" s="15"/>
      <c r="K18" s="14" t="s">
        <v>33</v>
      </c>
      <c r="L18" s="16" t="s">
        <v>34</v>
      </c>
    </row>
    <row r="19" spans="2:12" ht="12" customHeight="1">
      <c r="B19" s="58"/>
      <c r="C19" s="61">
        <f>L11</f>
        <v>63000</v>
      </c>
      <c r="D19" s="62"/>
      <c r="E19" s="38">
        <f>L16</f>
        <v>0</v>
      </c>
      <c r="F19" s="39"/>
      <c r="G19" s="38"/>
      <c r="H19" s="39"/>
      <c r="I19" s="38"/>
      <c r="J19" s="39"/>
      <c r="K19" s="38">
        <f>L19-J19</f>
        <v>63000</v>
      </c>
      <c r="L19" s="36">
        <f>C19-E19</f>
        <v>63000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C9:D9"/>
    <mergeCell ref="C10:D10"/>
    <mergeCell ref="C15:D15"/>
    <mergeCell ref="C16:D16"/>
    <mergeCell ref="C18:D18"/>
    <mergeCell ref="C19:D19"/>
    <mergeCell ref="A2:B2"/>
    <mergeCell ref="B8:B11"/>
    <mergeCell ref="B13:B16"/>
    <mergeCell ref="B18:B19"/>
    <mergeCell ref="B3:F3"/>
    <mergeCell ref="B4:C4"/>
    <mergeCell ref="D4:E4"/>
    <mergeCell ref="C14:D14"/>
    <mergeCell ref="B5:C5"/>
    <mergeCell ref="D5:E5"/>
    <mergeCell ref="C11:D11"/>
    <mergeCell ref="C13:D13"/>
    <mergeCell ref="C8:D8"/>
  </mergeCells>
  <phoneticPr fontId="17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</vt:i4>
      </vt:variant>
    </vt:vector>
  </HeadingPairs>
  <TitlesOfParts>
    <vt:vector size="14" baseType="lpstr">
      <vt:lpstr>中村先生</vt:lpstr>
      <vt:lpstr>中先生</vt:lpstr>
      <vt:lpstr>後藤先生</vt:lpstr>
      <vt:lpstr>政谷(現金）</vt:lpstr>
      <vt:lpstr>綱嶋（現金）</vt:lpstr>
      <vt:lpstr>濱田</vt:lpstr>
      <vt:lpstr>原口</vt:lpstr>
      <vt:lpstr>内村</vt:lpstr>
      <vt:lpstr>半田久</vt:lpstr>
      <vt:lpstr>半田楓</vt:lpstr>
      <vt:lpstr>野村</vt:lpstr>
      <vt:lpstr>一之谷</vt:lpstr>
      <vt:lpstr>中先生!Print_Area</vt:lpstr>
      <vt:lpstr>中村先生!Print_Area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1221 ky</dc:creator>
  <cp:lastModifiedBy>Nana Yamakawa</cp:lastModifiedBy>
  <cp:lastPrinted>2023-08-14T00:44:45Z</cp:lastPrinted>
  <dcterms:created xsi:type="dcterms:W3CDTF">2023-02-18T07:29:35Z</dcterms:created>
  <dcterms:modified xsi:type="dcterms:W3CDTF">2023-08-15T05:34:00Z</dcterms:modified>
</cp:coreProperties>
</file>