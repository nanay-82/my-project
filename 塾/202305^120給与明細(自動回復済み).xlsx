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c634e50cd4362f7/デスクトップ/塾/"/>
    </mc:Choice>
  </mc:AlternateContent>
  <xr:revisionPtr revIDLastSave="1027" documentId="8_{8F14F38B-E5B1-4C5F-88C8-BC870A5BEC1C}" xr6:coauthVersionLast="47" xr6:coauthVersionMax="47" xr10:uidLastSave="{D65E062B-CBBE-4516-8CE2-7D177769C841}"/>
  <bookViews>
    <workbookView xWindow="-98" yWindow="-98" windowWidth="21795" windowHeight="13875" activeTab="10" xr2:uid="{00000000-000D-0000-FFFF-FFFF00000000}"/>
  </bookViews>
  <sheets>
    <sheet name="中村先生" sheetId="15" r:id="rId1"/>
    <sheet name="波田野" sheetId="21" r:id="rId2"/>
    <sheet name="横山" sheetId="28" r:id="rId3"/>
    <sheet name="近藤" sheetId="16" r:id="rId4"/>
    <sheet name="半田久" sheetId="10" r:id="rId5"/>
    <sheet name="内村" sheetId="9" r:id="rId6"/>
    <sheet name="内村舜" sheetId="23" r:id="rId7"/>
    <sheet name="岡田" sheetId="24" r:id="rId8"/>
    <sheet name="中塚" sheetId="25" r:id="rId9"/>
    <sheet name="田村" sheetId="22" r:id="rId10"/>
    <sheet name="徳田" sheetId="26" r:id="rId11"/>
    <sheet name="濱田" sheetId="7" r:id="rId12"/>
    <sheet name="一之谷" sheetId="13" r:id="rId13"/>
    <sheet name="Sheet2" sheetId="27" r:id="rId14"/>
  </sheets>
  <definedNames>
    <definedName name="_xlnm.Print_Area" localSheetId="0">中村先生!$A$1:$M$12</definedName>
    <definedName name="_xlnm.Print_Area" localSheetId="10">徳田!$A:$N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28" l="1"/>
  <c r="H14" i="28"/>
  <c r="L16" i="28" s="1"/>
  <c r="E19" i="28" s="1"/>
  <c r="K9" i="28"/>
  <c r="G9" i="28"/>
  <c r="C9" i="28"/>
  <c r="L14" i="26"/>
  <c r="H14" i="26"/>
  <c r="L16" i="26" s="1"/>
  <c r="E19" i="26" s="1"/>
  <c r="K9" i="26"/>
  <c r="H9" i="26"/>
  <c r="E9" i="26"/>
  <c r="C9" i="26"/>
  <c r="K9" i="22"/>
  <c r="L11" i="28" l="1"/>
  <c r="C19" i="28"/>
  <c r="L19" i="28" s="1"/>
  <c r="K19" i="28" s="1"/>
  <c r="I14" i="28"/>
  <c r="L11" i="26"/>
  <c r="I14" i="26" s="1"/>
  <c r="L14" i="25"/>
  <c r="H14" i="25"/>
  <c r="K9" i="25"/>
  <c r="H9" i="25"/>
  <c r="E9" i="25"/>
  <c r="C9" i="25"/>
  <c r="L14" i="24"/>
  <c r="H14" i="24"/>
  <c r="L16" i="24" s="1"/>
  <c r="E19" i="24" s="1"/>
  <c r="K9" i="24"/>
  <c r="H9" i="24"/>
  <c r="E9" i="24"/>
  <c r="C9" i="24"/>
  <c r="L11" i="24" s="1"/>
  <c r="L14" i="23"/>
  <c r="H14" i="23"/>
  <c r="L16" i="23" s="1"/>
  <c r="E19" i="23" s="1"/>
  <c r="K9" i="23"/>
  <c r="H9" i="23"/>
  <c r="E9" i="23"/>
  <c r="C9" i="23"/>
  <c r="G9" i="21"/>
  <c r="E9" i="22"/>
  <c r="E9" i="16"/>
  <c r="F9" i="9"/>
  <c r="E9" i="9"/>
  <c r="E8" i="10"/>
  <c r="E9" i="7"/>
  <c r="E9" i="13"/>
  <c r="H14" i="13"/>
  <c r="L14" i="22"/>
  <c r="H14" i="22"/>
  <c r="L16" i="22" s="1"/>
  <c r="E19" i="22" s="1"/>
  <c r="H9" i="22"/>
  <c r="C9" i="22"/>
  <c r="L14" i="21"/>
  <c r="H14" i="21"/>
  <c r="L16" i="21" s="1"/>
  <c r="E19" i="21" s="1"/>
  <c r="K9" i="21"/>
  <c r="C9" i="21"/>
  <c r="L14" i="16"/>
  <c r="H14" i="16"/>
  <c r="K9" i="16"/>
  <c r="H9" i="16"/>
  <c r="C9" i="16"/>
  <c r="L16" i="16" l="1"/>
  <c r="E19" i="16" s="1"/>
  <c r="C19" i="26"/>
  <c r="L19" i="26" s="1"/>
  <c r="K19" i="26" s="1"/>
  <c r="L16" i="25"/>
  <c r="E19" i="25" s="1"/>
  <c r="L11" i="25"/>
  <c r="C19" i="25" s="1"/>
  <c r="L19" i="25" s="1"/>
  <c r="K19" i="25" s="1"/>
  <c r="C19" i="24"/>
  <c r="L19" i="24" s="1"/>
  <c r="K19" i="24" s="1"/>
  <c r="L11" i="23"/>
  <c r="C19" i="23" s="1"/>
  <c r="L19" i="23" s="1"/>
  <c r="K19" i="23" s="1"/>
  <c r="L11" i="21"/>
  <c r="C19" i="21" s="1"/>
  <c r="L19" i="21" s="1"/>
  <c r="K19" i="21" s="1"/>
  <c r="L11" i="22"/>
  <c r="C19" i="22" s="1"/>
  <c r="L19" i="22" s="1"/>
  <c r="K19" i="22" s="1"/>
  <c r="L11" i="16"/>
  <c r="C19" i="16" s="1"/>
  <c r="L19" i="16" s="1"/>
  <c r="K19" i="16" s="1"/>
  <c r="K9" i="15"/>
  <c r="C9" i="15"/>
  <c r="H9" i="15" s="1"/>
  <c r="L14" i="13"/>
  <c r="K9" i="13"/>
  <c r="J9" i="13"/>
  <c r="I9" i="13"/>
  <c r="H9" i="13"/>
  <c r="C9" i="13"/>
  <c r="L13" i="10"/>
  <c r="H13" i="10"/>
  <c r="K8" i="10"/>
  <c r="H8" i="10"/>
  <c r="C8" i="10"/>
  <c r="L14" i="9"/>
  <c r="L16" i="9" s="1"/>
  <c r="E19" i="9" s="1"/>
  <c r="H14" i="9"/>
  <c r="K9" i="9"/>
  <c r="C9" i="9"/>
  <c r="L14" i="7"/>
  <c r="H14" i="7"/>
  <c r="K9" i="7"/>
  <c r="H9" i="7"/>
  <c r="C9" i="7"/>
  <c r="I14" i="25" l="1"/>
  <c r="I14" i="24"/>
  <c r="I9" i="15"/>
  <c r="L11" i="15" s="1"/>
  <c r="I14" i="23"/>
  <c r="I14" i="22"/>
  <c r="I14" i="21"/>
  <c r="I14" i="16"/>
  <c r="L15" i="10"/>
  <c r="E18" i="10" s="1"/>
  <c r="L11" i="9"/>
  <c r="C19" i="9" s="1"/>
  <c r="L19" i="9" s="1"/>
  <c r="K19" i="9" s="1"/>
  <c r="L11" i="7"/>
  <c r="I14" i="7" s="1"/>
  <c r="L11" i="13"/>
  <c r="L10" i="10"/>
  <c r="I13" i="10" s="1"/>
  <c r="L16" i="7"/>
  <c r="E19" i="7" s="1"/>
  <c r="L16" i="13"/>
  <c r="E19" i="13" s="1"/>
  <c r="C19" i="13" l="1"/>
  <c r="L19" i="13" s="1"/>
  <c r="K19" i="13" s="1"/>
  <c r="I14" i="13"/>
  <c r="I14" i="9"/>
  <c r="C19" i="7"/>
  <c r="L19" i="7" s="1"/>
  <c r="K19" i="7" s="1"/>
  <c r="C18" i="10"/>
  <c r="L18" i="10" s="1"/>
  <c r="K18" i="10" s="1"/>
</calcChain>
</file>

<file path=xl/sharedStrings.xml><?xml version="1.0" encoding="utf-8"?>
<sst xmlns="http://schemas.openxmlformats.org/spreadsheetml/2006/main" count="444" uniqueCount="98">
  <si>
    <t>年</t>
  </si>
  <si>
    <t>給与支給明細書</t>
  </si>
  <si>
    <t>講師</t>
  </si>
  <si>
    <t>出勤日数</t>
  </si>
  <si>
    <t>氏　名</t>
  </si>
  <si>
    <t>殿</t>
  </si>
  <si>
    <t>支給項目二</t>
  </si>
  <si>
    <t>個別指導料（ｺﾏ）</t>
  </si>
  <si>
    <t>事務給与</t>
  </si>
  <si>
    <t>交通費</t>
  </si>
  <si>
    <t>総支給額</t>
  </si>
  <si>
    <t>175×0</t>
  </si>
  <si>
    <t>控除項目</t>
  </si>
  <si>
    <t>健康保険</t>
  </si>
  <si>
    <t>厚生年金保険</t>
  </si>
  <si>
    <t>雇用保険</t>
  </si>
  <si>
    <t>社会保険合計</t>
  </si>
  <si>
    <t>課税対象額</t>
  </si>
  <si>
    <t>所得税</t>
  </si>
  <si>
    <t>住民税</t>
  </si>
  <si>
    <t>税額合計</t>
  </si>
  <si>
    <t>総控除額</t>
  </si>
  <si>
    <t>集計</t>
  </si>
  <si>
    <t>振込支給額</t>
  </si>
  <si>
    <t>差引支給額</t>
  </si>
  <si>
    <t>指導料(ｺﾏ給)</t>
  </si>
  <si>
    <t>0×0</t>
  </si>
  <si>
    <t>濱田旺次郎</t>
  </si>
  <si>
    <t>内村優</t>
  </si>
  <si>
    <t>半田久瑠実</t>
  </si>
  <si>
    <t>1150×0</t>
    <phoneticPr fontId="16"/>
  </si>
  <si>
    <t>一之谷寛</t>
    <rPh sb="0" eb="3">
      <t>イチノタニ</t>
    </rPh>
    <rPh sb="3" eb="4">
      <t>ヒロシ</t>
    </rPh>
    <phoneticPr fontId="16"/>
  </si>
  <si>
    <t>中村和人</t>
    <rPh sb="0" eb="2">
      <t>ナカムラ</t>
    </rPh>
    <rPh sb="2" eb="4">
      <t>カズト</t>
    </rPh>
    <phoneticPr fontId="16"/>
  </si>
  <si>
    <t>支給項目</t>
    <phoneticPr fontId="16"/>
  </si>
  <si>
    <t>0×0</t>
    <phoneticPr fontId="16"/>
  </si>
  <si>
    <t>受験生高校生手当</t>
    <rPh sb="3" eb="6">
      <t>コウコウセイ</t>
    </rPh>
    <phoneticPr fontId="16"/>
  </si>
  <si>
    <t>200（高校生）×0</t>
    <rPh sb="4" eb="7">
      <t>コウコウセイ</t>
    </rPh>
    <phoneticPr fontId="16"/>
  </si>
  <si>
    <t>特別手当</t>
    <rPh sb="0" eb="2">
      <t>トクベツ</t>
    </rPh>
    <phoneticPr fontId="16"/>
  </si>
  <si>
    <t>ゴミ出し</t>
  </si>
  <si>
    <t>近藤光太郎</t>
  </si>
  <si>
    <t>200（受験生）×0</t>
  </si>
  <si>
    <t>1150×0</t>
  </si>
  <si>
    <t>200（高校生）×0</t>
  </si>
  <si>
    <t>田村誠志</t>
  </si>
  <si>
    <t>波田野奈奈絵</t>
  </si>
  <si>
    <t>1200×0</t>
  </si>
  <si>
    <t>講師料支給明細書</t>
    <rPh sb="0" eb="2">
      <t>コウシ</t>
    </rPh>
    <rPh sb="2" eb="3">
      <t>リョウ</t>
    </rPh>
    <phoneticPr fontId="16"/>
  </si>
  <si>
    <t>講師料</t>
    <rPh sb="0" eb="2">
      <t>コウシ</t>
    </rPh>
    <rPh sb="2" eb="3">
      <t>リョウ</t>
    </rPh>
    <phoneticPr fontId="16"/>
  </si>
  <si>
    <t>業務委託料</t>
    <rPh sb="0" eb="5">
      <t>ギョウムイタクリョウ</t>
    </rPh>
    <phoneticPr fontId="16"/>
  </si>
  <si>
    <t>コマ数手当</t>
    <rPh sb="2" eb="3">
      <t>スウ</t>
    </rPh>
    <rPh sb="3" eb="5">
      <t>テアテ</t>
    </rPh>
    <phoneticPr fontId="16"/>
  </si>
  <si>
    <t>オプション手当</t>
    <rPh sb="5" eb="7">
      <t>テアテ</t>
    </rPh>
    <phoneticPr fontId="16"/>
  </si>
  <si>
    <t>200（受験生）×12</t>
    <phoneticPr fontId="16"/>
  </si>
  <si>
    <t>資格手当</t>
    <rPh sb="0" eb="2">
      <t>シカク</t>
    </rPh>
    <rPh sb="2" eb="4">
      <t>テアテ</t>
    </rPh>
    <phoneticPr fontId="16"/>
  </si>
  <si>
    <t>コマ数手当</t>
    <rPh sb="2" eb="3">
      <t>スウ</t>
    </rPh>
    <rPh sb="3" eb="5">
      <t>テアテ</t>
    </rPh>
    <phoneticPr fontId="16"/>
  </si>
  <si>
    <t>資格手当</t>
    <rPh sb="0" eb="4">
      <t>シカクテアテ</t>
    </rPh>
    <phoneticPr fontId="16"/>
  </si>
  <si>
    <t>コマ給手当</t>
    <rPh sb="2" eb="3">
      <t>キュウ</t>
    </rPh>
    <rPh sb="3" eb="5">
      <t>テアテ</t>
    </rPh>
    <phoneticPr fontId="16"/>
  </si>
  <si>
    <t>資格手当</t>
    <rPh sb="0" eb="4">
      <t>シカクテアテ</t>
    </rPh>
    <phoneticPr fontId="16"/>
  </si>
  <si>
    <t>200（高校生）×4</t>
    <phoneticPr fontId="16"/>
  </si>
  <si>
    <t>1200×0</t>
    <phoneticPr fontId="16"/>
  </si>
  <si>
    <t>特別手当</t>
    <rPh sb="0" eb="4">
      <t>トクベツテアテ</t>
    </rPh>
    <phoneticPr fontId="16"/>
  </si>
  <si>
    <t>内村舜</t>
    <rPh sb="0" eb="2">
      <t>ウチムラ</t>
    </rPh>
    <rPh sb="2" eb="3">
      <t>シュン</t>
    </rPh>
    <phoneticPr fontId="16"/>
  </si>
  <si>
    <t>岡田悠</t>
    <rPh sb="0" eb="2">
      <t>オカダ</t>
    </rPh>
    <rPh sb="2" eb="3">
      <t>ユウ</t>
    </rPh>
    <phoneticPr fontId="16"/>
  </si>
  <si>
    <t>中塚陽菜</t>
    <rPh sb="0" eb="2">
      <t>ナカツカ</t>
    </rPh>
    <rPh sb="2" eb="3">
      <t>ヨウ</t>
    </rPh>
    <rPh sb="3" eb="4">
      <t>ナ</t>
    </rPh>
    <phoneticPr fontId="16"/>
  </si>
  <si>
    <t>源泉徴収</t>
    <rPh sb="0" eb="4">
      <t>ゲンセンチョウシュウ</t>
    </rPh>
    <phoneticPr fontId="16"/>
  </si>
  <si>
    <t>支払額</t>
    <rPh sb="0" eb="2">
      <t>シハライ</t>
    </rPh>
    <rPh sb="2" eb="3">
      <t>ガク</t>
    </rPh>
    <phoneticPr fontId="16"/>
  </si>
  <si>
    <t>200（受験生）×0</t>
    <phoneticPr fontId="16"/>
  </si>
  <si>
    <t>冬期講習</t>
    <rPh sb="0" eb="4">
      <t>トウキコウシュウ</t>
    </rPh>
    <phoneticPr fontId="16"/>
  </si>
  <si>
    <t>2月1日～2月28日</t>
    <phoneticPr fontId="16"/>
  </si>
  <si>
    <t>2300（ｺﾏ）×10</t>
    <phoneticPr fontId="16"/>
  </si>
  <si>
    <t>2300×5</t>
    <phoneticPr fontId="16"/>
  </si>
  <si>
    <t>2月1日～2月28日勤務分</t>
    <phoneticPr fontId="16"/>
  </si>
  <si>
    <t>1900（ｺﾏ）×6</t>
    <phoneticPr fontId="16"/>
  </si>
  <si>
    <t>1900（ｺﾏ）×15</t>
    <phoneticPr fontId="16"/>
  </si>
  <si>
    <t>徳田莉奈</t>
    <rPh sb="0" eb="2">
      <t>トクダ</t>
    </rPh>
    <rPh sb="2" eb="3">
      <t>マリ</t>
    </rPh>
    <rPh sb="3" eb="4">
      <t>ナ</t>
    </rPh>
    <phoneticPr fontId="16"/>
  </si>
  <si>
    <t>200（高校生）×0</t>
    <phoneticPr fontId="16"/>
  </si>
  <si>
    <t>1200×3</t>
    <phoneticPr fontId="16"/>
  </si>
  <si>
    <t>3月1日～3月31日</t>
    <phoneticPr fontId="16"/>
  </si>
  <si>
    <t>2200（ｺﾏ）×18</t>
    <phoneticPr fontId="16"/>
  </si>
  <si>
    <t>716×2</t>
    <phoneticPr fontId="16"/>
  </si>
  <si>
    <t>2000（ｺﾏ）×6</t>
    <phoneticPr fontId="16"/>
  </si>
  <si>
    <t>3月1日～3月31日勤務分</t>
    <phoneticPr fontId="16"/>
  </si>
  <si>
    <t>700×5</t>
    <phoneticPr fontId="16"/>
  </si>
  <si>
    <t>2000（ｺﾏ）×9</t>
    <phoneticPr fontId="16"/>
  </si>
  <si>
    <t>横山</t>
    <rPh sb="0" eb="2">
      <t>ヨコヤマ</t>
    </rPh>
    <phoneticPr fontId="16"/>
  </si>
  <si>
    <t>3月1日～3月31日勤務分</t>
    <rPh sb="9" eb="10">
      <t>ニチ</t>
    </rPh>
    <phoneticPr fontId="16"/>
  </si>
  <si>
    <t>2300（ｺﾏ）×40</t>
    <phoneticPr fontId="16"/>
  </si>
  <si>
    <t>1200×4</t>
    <phoneticPr fontId="16"/>
  </si>
  <si>
    <t>200（受験生）×24</t>
    <phoneticPr fontId="16"/>
  </si>
  <si>
    <t>2000×30</t>
    <phoneticPr fontId="16"/>
  </si>
  <si>
    <t>2000（ｺﾏ）×37</t>
    <phoneticPr fontId="16"/>
  </si>
  <si>
    <t>200（受験生）×4</t>
    <phoneticPr fontId="16"/>
  </si>
  <si>
    <t>2000（ｺﾏ）×3</t>
    <phoneticPr fontId="16"/>
  </si>
  <si>
    <t>398×1</t>
    <phoneticPr fontId="16"/>
  </si>
  <si>
    <t>1800（ｺﾏ）×2</t>
    <phoneticPr fontId="16"/>
  </si>
  <si>
    <t>1200×1</t>
    <phoneticPr fontId="16"/>
  </si>
  <si>
    <t>1400×48</t>
    <phoneticPr fontId="16"/>
  </si>
  <si>
    <t>2100×1</t>
    <phoneticPr fontId="16"/>
  </si>
  <si>
    <t>1000×0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</si>
</sst>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9"/>
      <color theme="1"/>
      <name val="MS PGothic"/>
      <family val="2"/>
      <charset val="128"/>
    </font>
    <font>
      <sz val="12"/>
      <color theme="1"/>
      <name val="ＭＳ ゴシック"/>
      <family val="3"/>
      <charset val="128"/>
    </font>
    <font>
      <sz val="11"/>
      <name val="Calibri"/>
      <family val="2"/>
    </font>
    <font>
      <sz val="8"/>
      <color theme="1"/>
      <name val="ＭＳ ゴシック"/>
      <family val="3"/>
      <charset val="128"/>
    </font>
    <font>
      <sz val="15"/>
      <color theme="1"/>
      <name val="ＭＳ ゴシック"/>
      <family val="3"/>
      <charset val="128"/>
    </font>
    <font>
      <sz val="10"/>
      <color theme="1"/>
      <name val="MS PGothic"/>
      <family val="2"/>
      <charset val="128"/>
    </font>
    <font>
      <sz val="11"/>
      <color theme="1"/>
      <name val="游ゴシック"/>
      <family val="3"/>
      <charset val="128"/>
    </font>
    <font>
      <sz val="7"/>
      <color rgb="FF3F3F3F"/>
      <name val="ＭＳ ゴシック"/>
      <family val="3"/>
      <charset val="128"/>
    </font>
    <font>
      <sz val="7"/>
      <color theme="1"/>
      <name val="MS PGothic"/>
      <family val="2"/>
      <charset val="128"/>
    </font>
    <font>
      <sz val="9"/>
      <color theme="1"/>
      <name val="ＭＳ ゴシック"/>
      <family val="3"/>
      <charset val="128"/>
    </font>
    <font>
      <sz val="9"/>
      <color theme="0"/>
      <name val="MS PGothic"/>
      <family val="2"/>
      <charset val="128"/>
    </font>
    <font>
      <sz val="7"/>
      <color rgb="FF3F3F3F"/>
      <name val="MS PGothic"/>
      <family val="2"/>
      <charset val="128"/>
    </font>
    <font>
      <sz val="6"/>
      <color rgb="FF3F3F3F"/>
      <name val="MS PGothic"/>
      <family val="2"/>
      <charset val="128"/>
    </font>
    <font>
      <sz val="11"/>
      <color rgb="FF3F3F3F"/>
      <name val="MS PGothic"/>
      <family val="2"/>
      <charset val="128"/>
    </font>
    <font>
      <sz val="9"/>
      <color rgb="FF3F3F3F"/>
      <name val="ＭＳ ゴシック"/>
      <family val="3"/>
      <charset val="128"/>
    </font>
    <font>
      <sz val="6"/>
      <name val="Calibri"/>
      <family val="3"/>
      <charset val="128"/>
      <scheme val="minor"/>
    </font>
    <font>
      <b/>
      <sz val="6"/>
      <color rgb="FF3F3F3F"/>
      <name val="MS P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7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9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38" fontId="12" fillId="0" borderId="18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19" xfId="0" applyFont="1" applyBorder="1" applyAlignment="1">
      <alignment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7" fillId="0" borderId="0" xfId="0" applyFont="1" applyAlignment="1">
      <alignment vertical="center" textRotation="255"/>
    </xf>
    <xf numFmtId="0" fontId="12" fillId="0" borderId="22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12" fillId="0" borderId="13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22" xfId="0" applyFont="1" applyBorder="1" applyAlignment="1">
      <alignment horizontal="center" vertical="center" shrinkToFit="1"/>
    </xf>
    <xf numFmtId="0" fontId="12" fillId="0" borderId="22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38" fontId="12" fillId="0" borderId="17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textRotation="255" wrapText="1"/>
    </xf>
    <xf numFmtId="38" fontId="12" fillId="0" borderId="18" xfId="0" applyNumberFormat="1" applyFont="1" applyBorder="1" applyAlignment="1">
      <alignment vertical="center"/>
    </xf>
    <xf numFmtId="38" fontId="12" fillId="0" borderId="19" xfId="0" applyNumberFormat="1" applyFont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38" fontId="12" fillId="0" borderId="27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 shrinkToFit="1"/>
    </xf>
    <xf numFmtId="0" fontId="12" fillId="0" borderId="30" xfId="0" applyFont="1" applyBorder="1" applyAlignment="1">
      <alignment horizontal="center" vertical="center"/>
    </xf>
    <xf numFmtId="0" fontId="12" fillId="0" borderId="30" xfId="0" applyFont="1" applyBorder="1" applyAlignment="1">
      <alignment vertical="center"/>
    </xf>
    <xf numFmtId="0" fontId="11" fillId="2" borderId="10" xfId="0" applyFont="1" applyFill="1" applyBorder="1" applyAlignment="1">
      <alignment horizontal="center" vertical="center" wrapText="1"/>
    </xf>
    <xf numFmtId="0" fontId="3" fillId="0" borderId="2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6" fillId="0" borderId="8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38" fontId="8" fillId="0" borderId="16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38" fontId="12" fillId="0" borderId="16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vertical="center"/>
    </xf>
    <xf numFmtId="0" fontId="8" fillId="0" borderId="20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1" fillId="2" borderId="10" xfId="0" applyFont="1" applyFill="1" applyBorder="1" applyAlignment="1">
      <alignment horizontal="center" vertical="center" textRotation="255" shrinkToFit="1"/>
    </xf>
    <xf numFmtId="0" fontId="3" fillId="0" borderId="15" xfId="0" applyFont="1" applyBorder="1" applyAlignment="1">
      <alignment vertical="center"/>
    </xf>
    <xf numFmtId="0" fontId="11" fillId="2" borderId="10" xfId="0" applyFont="1" applyFill="1" applyBorder="1" applyAlignment="1">
      <alignment horizontal="center" vertical="center" textRotation="255" wrapText="1"/>
    </xf>
    <xf numFmtId="0" fontId="8" fillId="0" borderId="11" xfId="0" applyFont="1" applyBorder="1" applyAlignment="1">
      <alignment horizontal="center" vertical="center" shrinkToFit="1"/>
    </xf>
    <xf numFmtId="0" fontId="3" fillId="0" borderId="14" xfId="0" applyFont="1" applyBorder="1" applyAlignment="1">
      <alignment vertical="center"/>
    </xf>
    <xf numFmtId="38" fontId="12" fillId="0" borderId="16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0</xdr:rowOff>
    </xdr:from>
    <xdr:ext cx="2257425" cy="800100"/>
    <xdr:sp macro="" textlink="">
      <xdr:nvSpPr>
        <xdr:cNvPr id="2" name="Shape 9">
          <a:extLst>
            <a:ext uri="{FF2B5EF4-FFF2-40B4-BE49-F238E27FC236}">
              <a16:creationId xmlns:a16="http://schemas.microsoft.com/office/drawing/2014/main" id="{0D29BDA8-509E-45D9-BF57-36A4C4369884}"/>
            </a:ext>
          </a:extLst>
        </xdr:cNvPr>
        <xdr:cNvSpPr/>
      </xdr:nvSpPr>
      <xdr:spPr>
        <a:xfrm>
          <a:off x="4757738" y="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  <xdr:oneCellAnchor>
    <xdr:from>
      <xdr:col>7</xdr:col>
      <xdr:colOff>390525</xdr:colOff>
      <xdr:row>0</xdr:row>
      <xdr:rowOff>0</xdr:rowOff>
    </xdr:from>
    <xdr:ext cx="2257425" cy="1128712"/>
    <xdr:sp macro="" textlink="">
      <xdr:nvSpPr>
        <xdr:cNvPr id="3" name="Shape 10">
          <a:extLst>
            <a:ext uri="{FF2B5EF4-FFF2-40B4-BE49-F238E27FC236}">
              <a16:creationId xmlns:a16="http://schemas.microsoft.com/office/drawing/2014/main" id="{7B544E9F-7DF5-42F6-8610-ED82F30D19DE}"/>
            </a:ext>
          </a:extLst>
        </xdr:cNvPr>
        <xdr:cNvSpPr/>
      </xdr:nvSpPr>
      <xdr:spPr>
        <a:xfrm>
          <a:off x="4757738" y="0"/>
          <a:ext cx="2257425" cy="11287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F18A5B45-7536-4631-B9F7-3EF4791E9BB0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0D643180-D19D-46E4-A4CA-7A0353029DD5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BCE458A3-CEE6-464D-BBAD-D3FE898CC264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19049</xdr:rowOff>
    </xdr:from>
    <xdr:ext cx="2257425" cy="900113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4757738" y="19049"/>
          <a:ext cx="2257425" cy="900113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80963</xdr:rowOff>
    </xdr:from>
    <xdr:ext cx="2257425" cy="976312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/>
      </xdr:nvSpPr>
      <xdr:spPr>
        <a:xfrm>
          <a:off x="4757738" y="80963"/>
          <a:ext cx="2257425" cy="976312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E236DCE7-ACE6-4CA4-99A6-8AC4AB29346F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6F7146AC-4122-46B6-A1A1-54E806B46197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3A2405DA-DEE5-4F8A-B46D-0F882551B5E3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EB1E2AC8-ED3C-4ADB-8F32-7144A08C9078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485775</xdr:colOff>
      <xdr:row>1</xdr:row>
      <xdr:rowOff>9525</xdr:rowOff>
    </xdr:from>
    <xdr:ext cx="2257425" cy="800100"/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A7F4F18E-A824-47E1-B846-AEA9A6A51B0E}"/>
            </a:ext>
          </a:extLst>
        </xdr:cNvPr>
        <xdr:cNvSpPr/>
      </xdr:nvSpPr>
      <xdr:spPr>
        <a:xfrm>
          <a:off x="4852988" y="247650"/>
          <a:ext cx="2257425" cy="8001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66675</xdr:rowOff>
    </xdr:from>
    <xdr:ext cx="2257425" cy="99060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/>
      </xdr:nvSpPr>
      <xdr:spPr>
        <a:xfrm>
          <a:off x="4757738" y="6667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390525</xdr:colOff>
      <xdr:row>0</xdr:row>
      <xdr:rowOff>47625</xdr:rowOff>
    </xdr:from>
    <xdr:ext cx="2257425" cy="99060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C00-00001D000000}"/>
            </a:ext>
          </a:extLst>
        </xdr:cNvPr>
        <xdr:cNvSpPr/>
      </xdr:nvSpPr>
      <xdr:spPr>
        <a:xfrm>
          <a:off x="4757738" y="47625"/>
          <a:ext cx="2257425" cy="990600"/>
        </a:xfrm>
        <a:prstGeom prst="rect">
          <a:avLst/>
        </a:prstGeom>
        <a:solidFill>
          <a:srgbClr val="FFFFFF"/>
        </a:solidFill>
        <a:ln w="9525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74275" tIns="8875" rIns="74275" bIns="8875" anchor="ctr" anchorCtr="0">
          <a:noAutofit/>
        </a:bodyPr>
        <a:lstStyle/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個別指導・少人数集団塾　西馬込学習教室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〒１４３－００２６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33333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東京都大田区西馬込２－２２－４</a:t>
          </a:r>
          <a:endParaRPr sz="900" b="0" i="0" u="none" strike="noStrike">
            <a:solidFill>
              <a:srgbClr val="000000"/>
            </a:solidFill>
            <a:latin typeface="MS PGothic"/>
            <a:ea typeface="MS PGothic"/>
            <a:cs typeface="MS PGothic"/>
            <a:sym typeface="MS PGothic"/>
          </a:endParaRPr>
        </a:p>
        <a:p>
          <a:pPr marL="0" lvl="0" indent="0" algn="l" rtl="0">
            <a:lnSpc>
              <a:spcPct val="122222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900" b="0" i="0" u="none" strike="noStrike">
              <a:solidFill>
                <a:srgbClr val="000000"/>
              </a:solidFill>
              <a:latin typeface="MS Mincho"/>
              <a:ea typeface="MS Mincho"/>
              <a:cs typeface="MS Mincho"/>
              <a:sym typeface="MS Mincho"/>
            </a:rPr>
            <a:t>０３－３７７３－７３１８</a:t>
          </a:r>
          <a:endParaRPr sz="1400"/>
        </a:p>
      </xdr:txBody>
    </xdr:sp>
    <xdr:clientData fLocksWithSheet="0"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9C65-E025-407F-B80A-40354304A23F}">
  <sheetPr>
    <pageSetUpPr fitToPage="1"/>
  </sheetPr>
  <dimension ref="A1:L942"/>
  <sheetViews>
    <sheetView zoomScale="117" workbookViewId="0">
      <selection activeCell="K11" sqref="K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.75" customHeight="1"/>
    <row r="3" spans="1:12" ht="18.75" customHeight="1" thickBot="1">
      <c r="A3" s="68">
        <v>2026</v>
      </c>
      <c r="B3" s="55"/>
      <c r="C3" s="1" t="s">
        <v>0</v>
      </c>
      <c r="D3" s="2"/>
      <c r="E3" s="2" t="s">
        <v>76</v>
      </c>
    </row>
    <row r="4" spans="1:12" ht="18.75" customHeight="1">
      <c r="B4" s="51" t="s">
        <v>46</v>
      </c>
      <c r="C4" s="52"/>
      <c r="D4" s="52"/>
      <c r="E4" s="52"/>
      <c r="F4" s="53"/>
      <c r="H4" s="3"/>
      <c r="I4" s="4"/>
      <c r="J4" s="5"/>
    </row>
    <row r="5" spans="1:12" ht="18.75" customHeight="1">
      <c r="B5" s="54"/>
      <c r="C5" s="55"/>
      <c r="D5" s="56" t="s">
        <v>2</v>
      </c>
      <c r="E5" s="55"/>
      <c r="F5" s="6"/>
      <c r="G5" s="36" t="s">
        <v>3</v>
      </c>
      <c r="H5" s="7"/>
    </row>
    <row r="6" spans="1:12" ht="18.75" customHeight="1" thickBot="1">
      <c r="B6" s="57" t="s">
        <v>4</v>
      </c>
      <c r="C6" s="58"/>
      <c r="D6" s="59" t="s">
        <v>32</v>
      </c>
      <c r="E6" s="58"/>
      <c r="F6" s="8" t="s">
        <v>5</v>
      </c>
      <c r="G6" s="9">
        <v>14</v>
      </c>
      <c r="J6" s="10"/>
    </row>
    <row r="7" spans="1:12" ht="18.75" customHeight="1">
      <c r="B7" s="11"/>
      <c r="J7" s="10"/>
    </row>
    <row r="8" spans="1:12" ht="18.75" customHeight="1">
      <c r="A8" s="23"/>
      <c r="B8" s="69" t="s">
        <v>33</v>
      </c>
      <c r="C8" s="72" t="s">
        <v>47</v>
      </c>
      <c r="D8" s="61"/>
      <c r="E8" s="24" t="s">
        <v>48</v>
      </c>
      <c r="F8" s="13" t="s">
        <v>37</v>
      </c>
      <c r="G8" s="25"/>
      <c r="H8" s="13" t="s">
        <v>64</v>
      </c>
      <c r="I8" s="39" t="s">
        <v>63</v>
      </c>
      <c r="J8" s="38"/>
      <c r="K8" s="40" t="s">
        <v>9</v>
      </c>
      <c r="L8" s="14"/>
    </row>
    <row r="9" spans="1:12" ht="18.75" customHeight="1">
      <c r="B9" s="70"/>
      <c r="C9" s="62">
        <f>LEFT(C10,FIND("（ｺﾏ）×",C10)-1)*RIGHT(C10,LEN(C10)-FIND("×",C10))+IF(C11&lt;&gt;"",LEFT(C11,FIND("×",C11)-1)*RIGHT(C11,LEN(C11)-FIND("×",C11)),0)</f>
        <v>39600</v>
      </c>
      <c r="D9" s="63"/>
      <c r="E9" s="15">
        <v>125000</v>
      </c>
      <c r="F9" s="15">
        <v>0</v>
      </c>
      <c r="G9" s="15"/>
      <c r="H9" s="15">
        <f>E9+F9+C9</f>
        <v>164600</v>
      </c>
      <c r="I9" s="15">
        <f>ROUNDDOWN(H9*0.1021,0)</f>
        <v>16805</v>
      </c>
      <c r="J9" s="15"/>
      <c r="K9" s="15">
        <f>IF(K8&lt;&gt;"",LEFT(K10,FIND("×",K10)-1)*RIGHT(K10,LEN(K10)-FIND("×",K10))+IF(K11&lt;&gt;"",LEFT(K11,FIND("×",K11)-1)*RIGHT(K11,LEN(K11)-FIND("×",K11)),0),"")</f>
        <v>1432</v>
      </c>
      <c r="L9" s="33"/>
    </row>
    <row r="10" spans="1:12" ht="18.75" customHeight="1">
      <c r="B10" s="70"/>
      <c r="C10" s="66" t="s">
        <v>77</v>
      </c>
      <c r="D10" s="75"/>
      <c r="E10" s="18"/>
      <c r="F10" s="26"/>
      <c r="G10" s="27"/>
      <c r="H10" s="26"/>
      <c r="I10" s="28"/>
      <c r="J10" s="26"/>
      <c r="K10" s="28" t="s">
        <v>78</v>
      </c>
      <c r="L10" s="29" t="s">
        <v>10</v>
      </c>
    </row>
    <row r="11" spans="1:12" ht="18.75" customHeight="1">
      <c r="B11" s="50"/>
      <c r="C11" s="76"/>
      <c r="D11" s="65"/>
      <c r="E11" s="19"/>
      <c r="F11" s="30"/>
      <c r="G11" s="20"/>
      <c r="H11" s="17"/>
      <c r="I11" s="20"/>
      <c r="J11" s="30"/>
      <c r="K11" s="20"/>
      <c r="L11" s="31">
        <f>H9-I9+K9</f>
        <v>149227</v>
      </c>
    </row>
    <row r="12" spans="1:12" ht="18.7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8.75" customHeight="1"/>
    <row r="14" spans="1:12" ht="18.75" customHeight="1"/>
    <row r="15" spans="1:12" ht="18.75" customHeight="1"/>
    <row r="16" spans="1:12" ht="18.75" customHeight="1"/>
    <row r="17" ht="18.75" customHeight="1"/>
    <row r="18" ht="18.75" customHeight="1"/>
    <row r="19" ht="18.75" customHeight="1"/>
    <row r="20" ht="18.75" customHeight="1"/>
    <row r="21" ht="18.75" customHeight="1"/>
    <row r="22" ht="18.75" customHeight="1"/>
    <row r="23" ht="18.75" customHeight="1"/>
    <row r="24" ht="18.75" customHeight="1"/>
    <row r="25" ht="18.75" customHeight="1"/>
    <row r="26" ht="18.75" customHeight="1"/>
    <row r="27" ht="18.75" customHeight="1"/>
    <row r="28" ht="18.75" customHeight="1"/>
    <row r="29" ht="18.75" customHeight="1"/>
    <row r="30" ht="18.75" customHeight="1"/>
    <row r="31" ht="18.75" customHeight="1"/>
    <row r="3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</sheetData>
  <mergeCells count="11">
    <mergeCell ref="A3:B3"/>
    <mergeCell ref="B4:F4"/>
    <mergeCell ref="B5:C5"/>
    <mergeCell ref="D5:E5"/>
    <mergeCell ref="B6:C6"/>
    <mergeCell ref="D6:E6"/>
    <mergeCell ref="B8:B11"/>
    <mergeCell ref="C8:D8"/>
    <mergeCell ref="C9:D9"/>
    <mergeCell ref="C10:D10"/>
    <mergeCell ref="C11:D11"/>
  </mergeCells>
  <phoneticPr fontId="16"/>
  <pageMargins left="0.7" right="0.7" top="0.75" bottom="0.75" header="0.3" footer="0.3"/>
  <pageSetup paperSize="9" scale="7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D8C1F-14ED-4120-A16A-B8790077B440}">
  <dimension ref="A1:L974"/>
  <sheetViews>
    <sheetView zoomScale="128" workbookViewId="0">
      <selection activeCell="B3" sqref="B3:F3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68">
        <v>2026</v>
      </c>
      <c r="B2" s="55"/>
      <c r="C2" s="1" t="s">
        <v>0</v>
      </c>
      <c r="D2" s="2"/>
      <c r="E2" s="2" t="s">
        <v>80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 thickBot="1">
      <c r="B5" s="57" t="s">
        <v>4</v>
      </c>
      <c r="C5" s="58"/>
      <c r="D5" s="59" t="s">
        <v>44</v>
      </c>
      <c r="E5" s="58"/>
      <c r="F5" s="8" t="s">
        <v>5</v>
      </c>
      <c r="G5" s="9">
        <v>6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5" t="s">
        <v>35</v>
      </c>
      <c r="F8" s="44" t="s">
        <v>59</v>
      </c>
      <c r="G8" s="45" t="s">
        <v>8</v>
      </c>
      <c r="H8" s="13"/>
      <c r="I8" s="12"/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12000</v>
      </c>
      <c r="D9" s="63"/>
      <c r="E9" s="15">
        <v>0</v>
      </c>
      <c r="F9" s="15">
        <v>0</v>
      </c>
      <c r="G9" s="15">
        <f>IF(G8&lt;&gt;"",LEFT(G10,FIND("×",G10)-1)*RIGHT(G10,LEN(G10)-FIND("×",G10))+IF(G11&lt;&gt;"",LEFT(G11,FIND("×",G11)-1)*RIGHT(G11,LEN(G11)-FIND("×",G11)),0),"")</f>
        <v>3600</v>
      </c>
      <c r="H9" s="15"/>
      <c r="I9" s="15"/>
      <c r="J9" s="15"/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79</v>
      </c>
      <c r="D10" s="75"/>
      <c r="E10" s="46"/>
      <c r="F10" s="45"/>
      <c r="G10" s="45" t="s">
        <v>75</v>
      </c>
      <c r="H10" s="26"/>
      <c r="I10" s="28"/>
      <c r="J10" s="26"/>
      <c r="K10" s="28" t="s">
        <v>26</v>
      </c>
      <c r="L10" s="29" t="s">
        <v>10</v>
      </c>
    </row>
    <row r="11" spans="1:12" ht="12" customHeight="1">
      <c r="B11" s="50"/>
      <c r="C11" s="76"/>
      <c r="D11" s="65"/>
      <c r="E11" s="37"/>
      <c r="F11" s="47"/>
      <c r="G11" s="48"/>
      <c r="H11" s="17"/>
      <c r="I11" s="20"/>
      <c r="J11" s="30"/>
      <c r="K11" s="20"/>
      <c r="L11" s="31">
        <f>SUM(C9:L9)</f>
        <v>15600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15600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15600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15600</v>
      </c>
      <c r="L19" s="31">
        <f>C19-E19</f>
        <v>15600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9017-CFF6-45AE-91F8-41702EAF8B37}">
  <dimension ref="A1:L974"/>
  <sheetViews>
    <sheetView zoomScale="128" workbookViewId="0">
      <selection activeCell="G11" sqref="G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68">
        <v>2026</v>
      </c>
      <c r="B2" s="55"/>
      <c r="C2" s="1" t="s">
        <v>0</v>
      </c>
      <c r="D2" s="2"/>
      <c r="E2" s="2" t="s">
        <v>80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 thickBot="1">
      <c r="B5" s="57" t="s">
        <v>4</v>
      </c>
      <c r="C5" s="58"/>
      <c r="D5" s="59" t="s">
        <v>83</v>
      </c>
      <c r="E5" s="58"/>
      <c r="F5" s="8" t="s">
        <v>5</v>
      </c>
      <c r="G5" s="9">
        <v>5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5" t="s">
        <v>35</v>
      </c>
      <c r="F8" s="44" t="s">
        <v>59</v>
      </c>
      <c r="G8" s="45" t="s">
        <v>8</v>
      </c>
      <c r="H8" s="13"/>
      <c r="I8" s="12"/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18000</v>
      </c>
      <c r="D9" s="63"/>
      <c r="E9" s="15">
        <v>0</v>
      </c>
      <c r="F9" s="15">
        <v>0</v>
      </c>
      <c r="G9" s="15">
        <f>IF(G8&lt;&gt;"",LEFT(G10,FIND("×",G10)-1)*RIGHT(G10,LEN(G10)-FIND("×",G10))+IF(G11&lt;&gt;"",LEFT(G11,FIND("×",G11)-1)*RIGHT(G11,LEN(G11)-FIND("×",G11)),0),"")</f>
        <v>0</v>
      </c>
      <c r="H9" s="15"/>
      <c r="I9" s="15"/>
      <c r="J9" s="15"/>
      <c r="K9" s="15">
        <f>IF(K8&lt;&gt;"",LEFT(K10,FIND("×",K10)-1)*RIGHT(K10,LEN(K10)-FIND("×",K10))+IF(K11&lt;&gt;"",LEFT(K11,FIND("×",K11)-1)*RIGHT(K11,LEN(K11)-FIND("×",K11)),0),"")</f>
        <v>3500</v>
      </c>
      <c r="L9" s="33"/>
    </row>
    <row r="10" spans="1:12" ht="12" customHeight="1">
      <c r="B10" s="70"/>
      <c r="C10" s="66" t="s">
        <v>82</v>
      </c>
      <c r="D10" s="75"/>
      <c r="E10" s="46"/>
      <c r="F10" s="45"/>
      <c r="G10" s="45" t="s">
        <v>58</v>
      </c>
      <c r="H10" s="26"/>
      <c r="I10" s="28"/>
      <c r="J10" s="26"/>
      <c r="K10" s="28" t="s">
        <v>81</v>
      </c>
      <c r="L10" s="29" t="s">
        <v>10</v>
      </c>
    </row>
    <row r="11" spans="1:12" ht="12" customHeight="1">
      <c r="B11" s="50"/>
      <c r="C11" s="76"/>
      <c r="D11" s="65"/>
      <c r="E11" s="37"/>
      <c r="F11" s="47"/>
      <c r="G11" s="48"/>
      <c r="H11" s="17"/>
      <c r="I11" s="20"/>
      <c r="J11" s="30"/>
      <c r="K11" s="20"/>
      <c r="L11" s="31">
        <f>SUM(C9:L9)</f>
        <v>21500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18000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21500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21500</v>
      </c>
      <c r="L19" s="31">
        <f>C19-E19</f>
        <v>21500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A2:B2"/>
    <mergeCell ref="B3:F3"/>
    <mergeCell ref="B4:C4"/>
    <mergeCell ref="D4:E4"/>
    <mergeCell ref="B5:C5"/>
    <mergeCell ref="D5:E5"/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</mergeCells>
  <phoneticPr fontId="16"/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28DC7-2EC4-49F5-B373-38EB7B069964}">
  <sheetPr>
    <pageSetUpPr fitToPage="1"/>
  </sheetPr>
  <dimension ref="A1:L974"/>
  <sheetViews>
    <sheetView workbookViewId="0">
      <selection activeCell="J15" sqref="J15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68">
        <v>2026</v>
      </c>
      <c r="B2" s="55"/>
      <c r="C2" s="1" t="s">
        <v>0</v>
      </c>
      <c r="D2" s="2"/>
      <c r="E2" s="2" t="s">
        <v>84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 thickBot="1">
      <c r="B5" s="57" t="s">
        <v>4</v>
      </c>
      <c r="C5" s="58"/>
      <c r="D5" s="59" t="s">
        <v>39</v>
      </c>
      <c r="E5" s="58"/>
      <c r="F5" s="8" t="s">
        <v>5</v>
      </c>
      <c r="G5" s="9">
        <v>13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5" t="s">
        <v>35</v>
      </c>
      <c r="F8" s="13" t="s">
        <v>53</v>
      </c>
      <c r="G8" s="25" t="s">
        <v>54</v>
      </c>
      <c r="H8" s="13" t="s">
        <v>8</v>
      </c>
      <c r="I8" s="12"/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92000</v>
      </c>
      <c r="D9" s="63"/>
      <c r="E9" s="15">
        <f>LEFT(E10,FIND("（受験生）×",E10)-1)*RIGHT(E10,LEN(E10)-FIND("×",E10))+LEFT(E11,FIND("（高校生）×",E11)-1)*RIGHT(E11,LEN(E11)-FIND("×",E11))</f>
        <v>5600</v>
      </c>
      <c r="F9" s="15">
        <v>10000</v>
      </c>
      <c r="G9" s="15"/>
      <c r="H9" s="15">
        <f>IF(H8&lt;&gt;"",LEFT(H10,FIND("×",H10)-1)*RIGHT(H10,LEN(H10)-FIND("×",H10))+IF(H11&lt;&gt;"",LEFT(H11,FIND("×",H11)-1)*RIGHT(H11,LEN(H11)-FIND("×",H11)),0),"")</f>
        <v>4800</v>
      </c>
      <c r="I9" s="15"/>
      <c r="J9" s="15"/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85</v>
      </c>
      <c r="D10" s="75"/>
      <c r="E10" s="27" t="s">
        <v>87</v>
      </c>
      <c r="F10" s="26"/>
      <c r="G10" s="27"/>
      <c r="H10" s="26" t="s">
        <v>86</v>
      </c>
      <c r="I10" s="28"/>
      <c r="J10" s="26"/>
      <c r="K10" s="28" t="s">
        <v>26</v>
      </c>
      <c r="L10" s="29" t="s">
        <v>10</v>
      </c>
    </row>
    <row r="11" spans="1:12" ht="12" customHeight="1">
      <c r="B11" s="50"/>
      <c r="C11" s="76"/>
      <c r="D11" s="65"/>
      <c r="E11" s="20" t="s">
        <v>57</v>
      </c>
      <c r="F11" s="30"/>
      <c r="G11" s="20"/>
      <c r="H11" s="17"/>
      <c r="I11" s="20"/>
      <c r="J11" s="30"/>
      <c r="K11" s="20"/>
      <c r="L11" s="31">
        <f>SUM(C9:L9)</f>
        <v>112400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112400</v>
      </c>
      <c r="J14" s="34">
        <v>580</v>
      </c>
      <c r="K14" s="33">
        <v>0</v>
      </c>
      <c r="L14" s="31">
        <f>SUM(J14:K14)</f>
        <v>580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580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112400</v>
      </c>
      <c r="D19" s="63"/>
      <c r="E19" s="33">
        <f>L16</f>
        <v>580</v>
      </c>
      <c r="F19" s="34"/>
      <c r="G19" s="33"/>
      <c r="H19" s="34"/>
      <c r="I19" s="33"/>
      <c r="J19" s="34"/>
      <c r="K19" s="33">
        <f>L19-J19</f>
        <v>111820</v>
      </c>
      <c r="L19" s="31">
        <f>C19-E19</f>
        <v>111820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.3" footer="0.3"/>
  <pageSetup scale="8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96"/>
  <sheetViews>
    <sheetView zoomScale="112" workbookViewId="0">
      <selection activeCell="F9" sqref="F9"/>
    </sheetView>
  </sheetViews>
  <sheetFormatPr defaultColWidth="14.3984375" defaultRowHeight="15" customHeight="1"/>
  <cols>
    <col min="1" max="26" width="8.73046875" customWidth="1"/>
  </cols>
  <sheetData>
    <row r="1" spans="1:12" ht="18" customHeight="1">
      <c r="A1" s="68">
        <v>2026</v>
      </c>
      <c r="B1" s="55"/>
      <c r="C1" s="1" t="s">
        <v>0</v>
      </c>
      <c r="D1" s="2"/>
      <c r="E1" s="2" t="s">
        <v>76</v>
      </c>
    </row>
    <row r="2" spans="1:12" ht="18" customHeight="1">
      <c r="B2" s="51" t="s">
        <v>1</v>
      </c>
      <c r="C2" s="52"/>
      <c r="D2" s="52"/>
      <c r="E2" s="52"/>
      <c r="F2" s="53"/>
      <c r="H2" s="3"/>
      <c r="I2" s="4"/>
      <c r="J2" s="5"/>
    </row>
    <row r="3" spans="1:12" ht="18" customHeight="1">
      <c r="B3" s="54"/>
      <c r="C3" s="55"/>
      <c r="D3" s="56" t="s">
        <v>2</v>
      </c>
      <c r="E3" s="55"/>
      <c r="F3" s="6"/>
      <c r="G3" s="36" t="s">
        <v>3</v>
      </c>
      <c r="H3" s="7"/>
    </row>
    <row r="4" spans="1:12" ht="18" customHeight="1">
      <c r="B4" s="57" t="s">
        <v>4</v>
      </c>
      <c r="C4" s="58"/>
      <c r="D4" s="59" t="s">
        <v>29</v>
      </c>
      <c r="E4" s="58"/>
      <c r="F4" s="8" t="s">
        <v>5</v>
      </c>
      <c r="G4" s="9">
        <v>12</v>
      </c>
      <c r="J4" s="10"/>
    </row>
    <row r="5" spans="1:12" ht="1.5" customHeight="1">
      <c r="B5" s="11"/>
      <c r="J5" s="10"/>
    </row>
    <row r="6" spans="1:12" ht="1.5" customHeight="1">
      <c r="B6" s="21"/>
      <c r="C6" s="16"/>
      <c r="D6" s="16"/>
      <c r="E6" s="16"/>
      <c r="F6" s="22"/>
      <c r="G6" s="16"/>
      <c r="H6" s="16"/>
      <c r="I6" s="16"/>
      <c r="J6" s="16"/>
      <c r="K6" s="16"/>
      <c r="L6" s="16"/>
    </row>
    <row r="7" spans="1:12" ht="12" customHeight="1">
      <c r="A7" s="23"/>
      <c r="B7" s="69" t="s">
        <v>6</v>
      </c>
      <c r="C7" s="72" t="s">
        <v>25</v>
      </c>
      <c r="D7" s="61"/>
      <c r="E7" s="41" t="s">
        <v>35</v>
      </c>
      <c r="F7" s="13" t="s">
        <v>55</v>
      </c>
      <c r="G7" s="25" t="s">
        <v>56</v>
      </c>
      <c r="H7" s="13" t="s">
        <v>8</v>
      </c>
      <c r="I7" s="12"/>
      <c r="J7" s="12"/>
      <c r="K7" s="12" t="s">
        <v>9</v>
      </c>
      <c r="L7" s="14"/>
    </row>
    <row r="8" spans="1:12" ht="12" customHeight="1">
      <c r="B8" s="70"/>
      <c r="C8" s="62">
        <f>LEFT(C9,FIND("×",C9)-1)*RIGHT(C9,LEN(C9)-FIND("×",C9))+IF(C10&lt;&gt;"",LEFT(C10,FIND("×",C10)-1)*RIGHT(C10,LEN(C10)-FIND("×",C10)),0)</f>
        <v>60000</v>
      </c>
      <c r="D8" s="63"/>
      <c r="E8" s="15">
        <f>LEFT(E9,FIND("（受験生）×",E9)-1)*RIGHT(E9,LEN(E9)-FIND("×",E9))+LEFT(E10,FIND("（高校生）×",E10)-1)*RIGHT(E10,LEN(E10)-FIND("×",E10))</f>
        <v>0</v>
      </c>
      <c r="F8" s="15">
        <v>5000</v>
      </c>
      <c r="G8" s="15">
        <v>0</v>
      </c>
      <c r="H8" s="15">
        <f>IF(H7&lt;&gt;"",LEFT(H9,FIND("×",H9)-1)*RIGHT(H9,LEN(H9)-FIND("×",H9))+IF(H10&lt;&gt;"",LEFT(H10,FIND("×",H10)-1)*RIGHT(H10,LEN(H10)-FIND("×",H10)),0),"")</f>
        <v>0</v>
      </c>
      <c r="I8" s="15"/>
      <c r="J8" s="15"/>
      <c r="K8" s="15">
        <f>IF(K7&lt;&gt;"",LEFT(K9,FIND("×",K9)-1)*RIGHT(K9,LEN(K9)-FIND("×",K9))+IF(K10&lt;&gt;"",LEFT(K10,FIND("×",K10)-1)*RIGHT(K10,LEN(K10)-FIND("×",K10)),0),"")</f>
        <v>0</v>
      </c>
      <c r="L8" s="33"/>
    </row>
    <row r="9" spans="1:12" ht="12" customHeight="1">
      <c r="B9" s="70"/>
      <c r="C9" s="66" t="s">
        <v>88</v>
      </c>
      <c r="D9" s="75"/>
      <c r="E9" s="27" t="s">
        <v>40</v>
      </c>
      <c r="F9" s="26"/>
      <c r="G9" s="27"/>
      <c r="H9" s="26" t="s">
        <v>41</v>
      </c>
      <c r="I9" s="28"/>
      <c r="J9" s="26"/>
      <c r="K9" s="28" t="s">
        <v>26</v>
      </c>
      <c r="L9" s="29" t="s">
        <v>10</v>
      </c>
    </row>
    <row r="10" spans="1:12" ht="12" customHeight="1">
      <c r="B10" s="50"/>
      <c r="C10" s="66"/>
      <c r="D10" s="75"/>
      <c r="E10" s="20" t="s">
        <v>42</v>
      </c>
      <c r="F10" s="30"/>
      <c r="G10" s="20"/>
      <c r="H10" s="26"/>
      <c r="I10" s="28"/>
      <c r="J10" s="30"/>
      <c r="K10" s="28"/>
      <c r="L10" s="31">
        <f>SUM(C8:L8)</f>
        <v>65000</v>
      </c>
    </row>
    <row r="11" spans="1:12" ht="1.5" customHeight="1">
      <c r="B11" s="32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pans="1:12" ht="12" customHeight="1">
      <c r="B12" s="71" t="s">
        <v>12</v>
      </c>
      <c r="C12" s="60" t="s">
        <v>13</v>
      </c>
      <c r="D12" s="61"/>
      <c r="E12" s="12" t="s">
        <v>14</v>
      </c>
      <c r="F12" s="12" t="s">
        <v>15</v>
      </c>
      <c r="G12" s="12"/>
      <c r="H12" s="13" t="s">
        <v>16</v>
      </c>
      <c r="I12" s="12" t="s">
        <v>17</v>
      </c>
      <c r="J12" s="13" t="s">
        <v>18</v>
      </c>
      <c r="K12" s="12" t="s">
        <v>19</v>
      </c>
      <c r="L12" s="14" t="s">
        <v>20</v>
      </c>
    </row>
    <row r="13" spans="1:12" ht="12" customHeight="1">
      <c r="B13" s="70"/>
      <c r="C13" s="74">
        <v>0</v>
      </c>
      <c r="D13" s="63"/>
      <c r="E13" s="33">
        <v>0</v>
      </c>
      <c r="F13" s="34">
        <v>0</v>
      </c>
      <c r="G13" s="33"/>
      <c r="H13" s="34">
        <f>SUM(C13:G13)</f>
        <v>0</v>
      </c>
      <c r="I13" s="33">
        <f>L10-K8-H13</f>
        <v>65000</v>
      </c>
      <c r="J13" s="34">
        <v>0</v>
      </c>
      <c r="K13" s="33">
        <v>0</v>
      </c>
      <c r="L13" s="31">
        <f>SUM(J13:K13)</f>
        <v>0</v>
      </c>
    </row>
    <row r="14" spans="1:12" ht="12" customHeight="1">
      <c r="B14" s="70"/>
      <c r="C14" s="60"/>
      <c r="D14" s="61"/>
      <c r="E14" s="12"/>
      <c r="F14" s="13"/>
      <c r="G14" s="12"/>
      <c r="H14" s="13"/>
      <c r="I14" s="12"/>
      <c r="J14" s="13"/>
      <c r="K14" s="12"/>
      <c r="L14" s="14" t="s">
        <v>21</v>
      </c>
    </row>
    <row r="15" spans="1:12" ht="12" customHeight="1">
      <c r="B15" s="50"/>
      <c r="C15" s="62"/>
      <c r="D15" s="63"/>
      <c r="E15" s="33"/>
      <c r="F15" s="34"/>
      <c r="G15" s="33"/>
      <c r="H15" s="34"/>
      <c r="I15" s="33"/>
      <c r="J15" s="34"/>
      <c r="K15" s="33"/>
      <c r="L15" s="31">
        <f>H13+L13</f>
        <v>0</v>
      </c>
    </row>
    <row r="16" spans="1:12" ht="1.5" customHeight="1"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spans="2:12" ht="12" customHeight="1">
      <c r="B17" s="49" t="s">
        <v>22</v>
      </c>
      <c r="C17" s="60" t="s">
        <v>10</v>
      </c>
      <c r="D17" s="61"/>
      <c r="E17" s="12" t="s">
        <v>21</v>
      </c>
      <c r="F17" s="13"/>
      <c r="G17" s="12"/>
      <c r="H17" s="13"/>
      <c r="I17" s="12"/>
      <c r="J17" s="13"/>
      <c r="K17" s="12" t="s">
        <v>23</v>
      </c>
      <c r="L17" s="14" t="s">
        <v>24</v>
      </c>
    </row>
    <row r="18" spans="2:12" ht="12" customHeight="1">
      <c r="B18" s="50"/>
      <c r="C18" s="64">
        <f>L10</f>
        <v>65000</v>
      </c>
      <c r="D18" s="63"/>
      <c r="E18" s="33">
        <f>L15</f>
        <v>0</v>
      </c>
      <c r="F18" s="34"/>
      <c r="G18" s="33"/>
      <c r="H18" s="34"/>
      <c r="I18" s="33"/>
      <c r="J18" s="34"/>
      <c r="K18" s="33">
        <f>L18-J18</f>
        <v>65000</v>
      </c>
      <c r="L18" s="31">
        <f>C18-E18</f>
        <v>65000</v>
      </c>
    </row>
    <row r="19" spans="2:12" ht="18.75" customHeight="1"/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</sheetData>
  <mergeCells count="19">
    <mergeCell ref="A1:B1"/>
    <mergeCell ref="B2:F2"/>
    <mergeCell ref="B3:C3"/>
    <mergeCell ref="D3:E3"/>
    <mergeCell ref="B4:C4"/>
    <mergeCell ref="D4:E4"/>
    <mergeCell ref="B7:B10"/>
    <mergeCell ref="C7:D7"/>
    <mergeCell ref="C8:D8"/>
    <mergeCell ref="C9:D9"/>
    <mergeCell ref="C10:D10"/>
    <mergeCell ref="C14:D14"/>
    <mergeCell ref="B12:B15"/>
    <mergeCell ref="B17:B18"/>
    <mergeCell ref="C17:D17"/>
    <mergeCell ref="C18:D18"/>
    <mergeCell ref="C15:D15"/>
    <mergeCell ref="C12:D12"/>
    <mergeCell ref="C13:D13"/>
  </mergeCells>
  <phoneticPr fontId="16"/>
  <pageMargins left="0.7" right="0.7" top="0.75" bottom="0.75" header="0" footer="0"/>
  <pageSetup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974"/>
  <sheetViews>
    <sheetView workbookViewId="0">
      <selection activeCell="F11" sqref="F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8">
        <v>2026</v>
      </c>
      <c r="B2" s="55"/>
      <c r="C2" s="1" t="s">
        <v>0</v>
      </c>
      <c r="D2" s="2"/>
      <c r="E2" s="2" t="s">
        <v>76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>
      <c r="B5" s="57" t="s">
        <v>4</v>
      </c>
      <c r="C5" s="58"/>
      <c r="D5" s="59" t="s">
        <v>28</v>
      </c>
      <c r="E5" s="58"/>
      <c r="F5" s="8" t="s">
        <v>5</v>
      </c>
      <c r="G5" s="9">
        <v>7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25</v>
      </c>
      <c r="D8" s="73"/>
      <c r="E8" s="38" t="s">
        <v>8</v>
      </c>
      <c r="F8" s="12" t="s">
        <v>38</v>
      </c>
      <c r="G8" s="25" t="s">
        <v>54</v>
      </c>
      <c r="H8" s="13"/>
      <c r="I8" s="12"/>
      <c r="J8" s="12"/>
      <c r="K8" s="12" t="s">
        <v>9</v>
      </c>
      <c r="L8" s="14"/>
    </row>
    <row r="9" spans="1:12" ht="12" customHeight="1">
      <c r="B9" s="70"/>
      <c r="C9" s="62">
        <f>LEFT(C10,FIND("×",C10)-1)*RIGHT(C10,LEN(C10)-FIND("×",C10))+IF(C11&lt;&gt;"",LEFT(C11,FIND("×",C11)-1)*RIGHT(C11,LEN(C11)-FIND("×",C11)),0)</f>
        <v>2100</v>
      </c>
      <c r="D9" s="65"/>
      <c r="E9" s="43">
        <f>IF(E8&lt;&gt;"",LEFT(E10,FIND("×",E10)-1)*RIGHT(E10,LEN(E10)-FIND("×",E10))+IF(E11&lt;&gt;"",LEFT(E11,FIND("×",E11)-1)*RIGHT(E11,LEN(E11)-FIND("×",E11)),0),"")</f>
        <v>67200</v>
      </c>
      <c r="F9" s="15">
        <f>IF(F8&lt;&gt;"",LEFT(F10,FIND("×",F10)-1)*RIGHT(F10,LEN(F10)-FIND("×",F10))+IF(F11&lt;&gt;"",LEFT(F11,FIND("×",F11)-1)*RIGHT(F11,LEN(F11)-FIND("×",F11)),0),"")</f>
        <v>0</v>
      </c>
      <c r="G9" s="15">
        <v>0</v>
      </c>
      <c r="H9" s="15"/>
      <c r="I9" s="15"/>
      <c r="J9" s="15"/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96</v>
      </c>
      <c r="D10" s="67"/>
      <c r="E10" s="38" t="s">
        <v>95</v>
      </c>
      <c r="F10" s="28" t="s">
        <v>97</v>
      </c>
      <c r="G10" s="27"/>
      <c r="H10" s="26"/>
      <c r="I10" s="28"/>
      <c r="J10" s="26"/>
      <c r="K10" s="28" t="s">
        <v>26</v>
      </c>
      <c r="L10" s="29" t="s">
        <v>10</v>
      </c>
    </row>
    <row r="11" spans="1:12" ht="12" customHeight="1">
      <c r="B11" s="50"/>
      <c r="C11" s="66"/>
      <c r="D11" s="67"/>
      <c r="E11" s="42" t="s">
        <v>11</v>
      </c>
      <c r="F11" s="28"/>
      <c r="G11" s="20"/>
      <c r="H11" s="26"/>
      <c r="I11" s="28"/>
      <c r="J11" s="30"/>
      <c r="K11" s="28"/>
      <c r="L11" s="31">
        <f>SUM(C9:L9)</f>
        <v>69300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69300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69300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69300</v>
      </c>
      <c r="L19" s="31">
        <f>C19-E19</f>
        <v>69300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A2:B2"/>
    <mergeCell ref="B8:B11"/>
    <mergeCell ref="B13:B16"/>
    <mergeCell ref="C8:D8"/>
    <mergeCell ref="C11:D11"/>
    <mergeCell ref="C13:D13"/>
    <mergeCell ref="C14:D14"/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</mergeCells>
  <phoneticPr fontId="16"/>
  <pageMargins left="0.7" right="0.7" top="0.75" bottom="0.75" header="0" footer="0"/>
  <pageSetup orientation="landscape" horizontalDpi="4294967293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ED1F5-2AEB-40C1-B418-F13FE138DF3C}">
  <sheetPr>
    <pageSetUpPr fitToPage="1"/>
  </sheetPr>
  <dimension ref="A1:L974"/>
  <sheetViews>
    <sheetView zoomScale="128" workbookViewId="0">
      <selection activeCell="F23" sqref="F23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68">
        <v>2026</v>
      </c>
      <c r="B2" s="55"/>
      <c r="C2" s="1" t="s">
        <v>0</v>
      </c>
      <c r="D2" s="2"/>
      <c r="E2" s="2" t="s">
        <v>80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 thickBot="1">
      <c r="B5" s="57" t="s">
        <v>4</v>
      </c>
      <c r="C5" s="58"/>
      <c r="D5" s="59" t="s">
        <v>60</v>
      </c>
      <c r="E5" s="58"/>
      <c r="F5" s="8" t="s">
        <v>5</v>
      </c>
      <c r="G5" s="9">
        <v>11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5" t="s">
        <v>35</v>
      </c>
      <c r="F8" s="13" t="s">
        <v>53</v>
      </c>
      <c r="G8" s="25" t="s">
        <v>54</v>
      </c>
      <c r="H8" s="13" t="s">
        <v>8</v>
      </c>
      <c r="I8" s="12" t="s">
        <v>66</v>
      </c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74000</v>
      </c>
      <c r="D9" s="63"/>
      <c r="E9" s="15">
        <f>LEFT(E10,FIND("（受験生）×",E10)-1)*RIGHT(E10,LEN(E10)-FIND("×",E10))+LEFT(E11,FIND("（高校生）×",E11)-1)*RIGHT(E11,LEN(E11)-FIND("×",E11))</f>
        <v>1600</v>
      </c>
      <c r="F9" s="15">
        <v>0</v>
      </c>
      <c r="G9" s="15">
        <v>0</v>
      </c>
      <c r="H9" s="15">
        <f>IF(H8&lt;&gt;"",LEFT(H10,FIND("×",H10)-1)*RIGHT(H10,LEN(H10)-FIND("×",H10))+IF(H11&lt;&gt;"",LEFT(H11,FIND("×",H11)-1)*RIGHT(H11,LEN(H11)-FIND("×",H11)),0),"")</f>
        <v>0</v>
      </c>
      <c r="I9" s="15">
        <v>0</v>
      </c>
      <c r="J9" s="15"/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89</v>
      </c>
      <c r="D10" s="75"/>
      <c r="E10" s="27" t="s">
        <v>90</v>
      </c>
      <c r="F10" s="26">
        <v>5000</v>
      </c>
      <c r="G10" s="27"/>
      <c r="H10" s="26" t="s">
        <v>58</v>
      </c>
      <c r="I10" s="28"/>
      <c r="J10" s="26"/>
      <c r="K10" s="28" t="s">
        <v>26</v>
      </c>
      <c r="L10" s="29" t="s">
        <v>10</v>
      </c>
    </row>
    <row r="11" spans="1:12" ht="12" customHeight="1">
      <c r="B11" s="50"/>
      <c r="C11" s="76"/>
      <c r="D11" s="65"/>
      <c r="E11" s="20" t="s">
        <v>57</v>
      </c>
      <c r="F11" s="30"/>
      <c r="G11" s="20"/>
      <c r="H11" s="17"/>
      <c r="I11" s="20"/>
      <c r="J11" s="30"/>
      <c r="K11" s="20"/>
      <c r="L11" s="31">
        <f>SUM(C9:L9)</f>
        <v>75600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75600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75600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75600</v>
      </c>
      <c r="L19" s="31">
        <f>C19-E19</f>
        <v>75600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.3" footer="0.3"/>
  <pageSetup scale="86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B1E9-168D-4B3D-B8E7-23C4B9A13A11}">
  <sheetPr>
    <pageSetUpPr fitToPage="1"/>
  </sheetPr>
  <dimension ref="A1:L974"/>
  <sheetViews>
    <sheetView workbookViewId="0">
      <selection activeCell="C11" sqref="C11:D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68">
        <v>2026</v>
      </c>
      <c r="B2" s="55"/>
      <c r="C2" s="1" t="s">
        <v>0</v>
      </c>
      <c r="D2" s="2"/>
      <c r="E2" s="2" t="s">
        <v>70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 thickBot="1">
      <c r="B5" s="57" t="s">
        <v>4</v>
      </c>
      <c r="C5" s="58"/>
      <c r="D5" s="59" t="s">
        <v>61</v>
      </c>
      <c r="E5" s="58"/>
      <c r="F5" s="8" t="s">
        <v>5</v>
      </c>
      <c r="G5" s="9">
        <v>3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5" t="s">
        <v>35</v>
      </c>
      <c r="F8" s="13" t="s">
        <v>53</v>
      </c>
      <c r="G8" s="25" t="s">
        <v>54</v>
      </c>
      <c r="H8" s="13" t="s">
        <v>8</v>
      </c>
      <c r="I8" s="12"/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11400</v>
      </c>
      <c r="D9" s="63"/>
      <c r="E9" s="15">
        <f>LEFT(E10,FIND("（受験生）×",E10)-1)*RIGHT(E10,LEN(E10)-FIND("×",E10))+LEFT(E11,FIND("（高校生）×",E11)-1)*RIGHT(E11,LEN(E11)-FIND("×",E11))</f>
        <v>800</v>
      </c>
      <c r="F9" s="15"/>
      <c r="G9" s="15">
        <v>0</v>
      </c>
      <c r="H9" s="15">
        <f>IF(H8&lt;&gt;"",LEFT(H10,FIND("×",H10)-1)*RIGHT(H10,LEN(H10)-FIND("×",H10))+IF(H11&lt;&gt;"",LEFT(H11,FIND("×",H11)-1)*RIGHT(H11,LEN(H11)-FIND("×",H11)),0),"")</f>
        <v>0</v>
      </c>
      <c r="I9" s="15"/>
      <c r="J9" s="15"/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71</v>
      </c>
      <c r="D10" s="75"/>
      <c r="E10" s="27" t="s">
        <v>65</v>
      </c>
      <c r="F10" s="26"/>
      <c r="G10" s="27"/>
      <c r="H10" s="26" t="s">
        <v>58</v>
      </c>
      <c r="I10" s="28"/>
      <c r="J10" s="26"/>
      <c r="K10" s="28" t="s">
        <v>26</v>
      </c>
      <c r="L10" s="29" t="s">
        <v>10</v>
      </c>
    </row>
    <row r="11" spans="1:12" ht="12" customHeight="1">
      <c r="B11" s="50"/>
      <c r="C11" s="76"/>
      <c r="D11" s="65"/>
      <c r="E11" s="20" t="s">
        <v>57</v>
      </c>
      <c r="F11" s="30"/>
      <c r="G11" s="20"/>
      <c r="H11" s="17"/>
      <c r="I11" s="20"/>
      <c r="J11" s="30"/>
      <c r="K11" s="20"/>
      <c r="L11" s="31">
        <f>SUM(C9:L9)</f>
        <v>12200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12200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12200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12200</v>
      </c>
      <c r="L19" s="31">
        <f>C19-E19</f>
        <v>12200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.3" footer="0.3"/>
  <pageSetup scale="86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203E-B083-4142-AA2F-19F5363D0B74}">
  <sheetPr>
    <pageSetUpPr fitToPage="1"/>
  </sheetPr>
  <dimension ref="A1:L974"/>
  <sheetViews>
    <sheetView topLeftCell="C1" workbookViewId="0">
      <selection activeCell="F10" sqref="F10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68">
        <v>2026</v>
      </c>
      <c r="B2" s="55"/>
      <c r="C2" s="1" t="s">
        <v>0</v>
      </c>
      <c r="D2" s="2"/>
      <c r="E2" s="2" t="s">
        <v>80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 thickBot="1">
      <c r="B5" s="57" t="s">
        <v>4</v>
      </c>
      <c r="C5" s="58"/>
      <c r="D5" s="59" t="s">
        <v>62</v>
      </c>
      <c r="E5" s="58"/>
      <c r="F5" s="8" t="s">
        <v>5</v>
      </c>
      <c r="G5" s="9">
        <v>6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5" t="s">
        <v>35</v>
      </c>
      <c r="F8" s="13" t="s">
        <v>53</v>
      </c>
      <c r="G8" s="25" t="s">
        <v>54</v>
      </c>
      <c r="H8" s="13" t="s">
        <v>8</v>
      </c>
      <c r="I8" s="12"/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28500</v>
      </c>
      <c r="D9" s="63"/>
      <c r="E9" s="15">
        <f>LEFT(E10,FIND("（受験生）×",E10)-1)*RIGHT(E10,LEN(E10)-FIND("×",E10))+LEFT(E11,FIND("（高校生）×",E11)-1)*RIGHT(E11,LEN(E11)-FIND("×",E11))</f>
        <v>1600</v>
      </c>
      <c r="F9" s="15">
        <v>5000</v>
      </c>
      <c r="G9" s="15">
        <v>0</v>
      </c>
      <c r="H9" s="15">
        <f>IF(H8&lt;&gt;"",LEFT(H10,FIND("×",H10)-1)*RIGHT(H10,LEN(H10)-FIND("×",H10))+IF(H11&lt;&gt;"",LEFT(H11,FIND("×",H11)-1)*RIGHT(H11,LEN(H11)-FIND("×",H11)),0),"")</f>
        <v>0</v>
      </c>
      <c r="I9" s="15"/>
      <c r="J9" s="15"/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72</v>
      </c>
      <c r="D10" s="75"/>
      <c r="E10" s="27" t="s">
        <v>90</v>
      </c>
      <c r="F10" s="26"/>
      <c r="G10" s="27"/>
      <c r="H10" s="26" t="s">
        <v>58</v>
      </c>
      <c r="I10" s="28"/>
      <c r="J10" s="26"/>
      <c r="K10" s="28" t="s">
        <v>26</v>
      </c>
      <c r="L10" s="29" t="s">
        <v>10</v>
      </c>
    </row>
    <row r="11" spans="1:12" ht="12" customHeight="1">
      <c r="B11" s="50"/>
      <c r="C11" s="76"/>
      <c r="D11" s="65"/>
      <c r="E11" s="20" t="s">
        <v>57</v>
      </c>
      <c r="F11" s="30"/>
      <c r="G11" s="20"/>
      <c r="H11" s="17"/>
      <c r="I11" s="20"/>
      <c r="J11" s="30"/>
      <c r="K11" s="20"/>
      <c r="L11" s="31">
        <f>SUM(C9:L9)</f>
        <v>35100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35100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35100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35100</v>
      </c>
      <c r="L19" s="31">
        <f>C19-E19</f>
        <v>35100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.3" footer="0.3"/>
  <pageSetup scale="86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128A3-1D84-4CF4-8358-BE6C51DB8C92}">
  <dimension ref="A1:L974"/>
  <sheetViews>
    <sheetView workbookViewId="0">
      <selection activeCell="B3" sqref="B3:F3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68">
        <v>2026</v>
      </c>
      <c r="B2" s="55"/>
      <c r="C2" s="1" t="s">
        <v>0</v>
      </c>
      <c r="D2" s="2"/>
      <c r="E2" s="2" t="s">
        <v>80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 thickBot="1">
      <c r="B5" s="57" t="s">
        <v>4</v>
      </c>
      <c r="C5" s="58"/>
      <c r="D5" s="59" t="s">
        <v>43</v>
      </c>
      <c r="E5" s="58"/>
      <c r="F5" s="8" t="s">
        <v>5</v>
      </c>
      <c r="G5" s="9">
        <v>1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5" t="s">
        <v>35</v>
      </c>
      <c r="F8" s="13" t="s">
        <v>55</v>
      </c>
      <c r="G8" s="25" t="s">
        <v>56</v>
      </c>
      <c r="H8" s="13" t="s">
        <v>8</v>
      </c>
      <c r="I8" s="12"/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6000</v>
      </c>
      <c r="D9" s="63"/>
      <c r="E9" s="15">
        <f>LEFT(E10,FIND("（受験生）×",E10)-1)*RIGHT(E10,LEN(E10)-FIND("×",E10))+LEFT(E11,FIND("（高校生）×",E11)-1)*RIGHT(E11,LEN(E11)-FIND("×",E11))</f>
        <v>800</v>
      </c>
      <c r="F9" s="15">
        <v>0</v>
      </c>
      <c r="G9" s="15">
        <v>0</v>
      </c>
      <c r="H9" s="15">
        <f>IF(H8&lt;&gt;"",LEFT(H10,FIND("×",H10)-1)*RIGHT(H10,LEN(H10)-FIND("×",H10))+IF(H11&lt;&gt;"",LEFT(H11,FIND("×",H11)-1)*RIGHT(H11,LEN(H11)-FIND("×",H11)),0),"")</f>
        <v>0</v>
      </c>
      <c r="I9" s="15"/>
      <c r="J9" s="15"/>
      <c r="K9" s="15">
        <f>398*4</f>
        <v>1592</v>
      </c>
      <c r="L9" s="33"/>
    </row>
    <row r="10" spans="1:12" ht="12" customHeight="1">
      <c r="B10" s="70"/>
      <c r="C10" s="66" t="s">
        <v>91</v>
      </c>
      <c r="D10" s="75"/>
      <c r="E10" s="27" t="s">
        <v>40</v>
      </c>
      <c r="F10" s="26"/>
      <c r="G10" s="27"/>
      <c r="H10" s="26" t="s">
        <v>45</v>
      </c>
      <c r="I10" s="28"/>
      <c r="J10" s="26"/>
      <c r="K10" s="28" t="s">
        <v>92</v>
      </c>
      <c r="L10" s="29" t="s">
        <v>10</v>
      </c>
    </row>
    <row r="11" spans="1:12" ht="12" customHeight="1">
      <c r="B11" s="50"/>
      <c r="C11" s="76"/>
      <c r="D11" s="65"/>
      <c r="E11" s="20" t="s">
        <v>57</v>
      </c>
      <c r="F11" s="30"/>
      <c r="G11" s="20"/>
      <c r="H11" s="17"/>
      <c r="I11" s="20"/>
      <c r="J11" s="30"/>
      <c r="K11" s="20"/>
      <c r="L11" s="31">
        <f>SUM(C9:L9)</f>
        <v>8392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6800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8392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8392</v>
      </c>
      <c r="L19" s="31">
        <f>C19-E19</f>
        <v>8392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  <mergeCell ref="A2:B2"/>
    <mergeCell ref="B3:F3"/>
    <mergeCell ref="B4:C4"/>
    <mergeCell ref="D4:E4"/>
    <mergeCell ref="B5:C5"/>
    <mergeCell ref="D5:E5"/>
  </mergeCells>
  <phoneticPr fontId="16"/>
  <pageMargins left="0.7" right="0.7" top="0.75" bottom="0.75" header="0" footer="0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D445-1B90-4811-B7D8-5BEACAD26964}">
  <dimension ref="A1:L974"/>
  <sheetViews>
    <sheetView tabSelected="1" topLeftCell="A5" workbookViewId="0">
      <selection activeCell="L28" sqref="L28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 thickBot="1">
      <c r="A2" s="68">
        <v>2026</v>
      </c>
      <c r="B2" s="55"/>
      <c r="C2" s="1" t="s">
        <v>0</v>
      </c>
      <c r="D2" s="2"/>
      <c r="E2" s="2" t="s">
        <v>80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 thickBot="1">
      <c r="B5" s="57" t="s">
        <v>4</v>
      </c>
      <c r="C5" s="58"/>
      <c r="D5" s="59" t="s">
        <v>73</v>
      </c>
      <c r="E5" s="58"/>
      <c r="F5" s="8" t="s">
        <v>5</v>
      </c>
      <c r="G5" s="9">
        <v>1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5" t="s">
        <v>35</v>
      </c>
      <c r="F8" s="13" t="s">
        <v>49</v>
      </c>
      <c r="G8" s="25" t="s">
        <v>54</v>
      </c>
      <c r="H8" s="13" t="s">
        <v>8</v>
      </c>
      <c r="I8" s="12"/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3600</v>
      </c>
      <c r="D9" s="63"/>
      <c r="E9" s="15">
        <f>LEFT(E10,FIND("（受験生）×",E10)-1)*RIGHT(E10,LEN(E10)-FIND("×",E10))+LEFT(E11,FIND("（高校生）×",E11)-1)*RIGHT(E11,LEN(E11)-FIND("×",E11))</f>
        <v>0</v>
      </c>
      <c r="F9" s="15"/>
      <c r="G9" s="15">
        <v>0</v>
      </c>
      <c r="H9" s="15">
        <f>IF(H8&lt;&gt;"",LEFT(H10,FIND("×",H10)-1)*RIGHT(H10,LEN(H10)-FIND("×",H10))+IF(H11&lt;&gt;"",LEFT(H11,FIND("×",H11)-1)*RIGHT(H11,LEN(H11)-FIND("×",H11)),0),"")</f>
        <v>1200</v>
      </c>
      <c r="I9" s="15"/>
      <c r="J9" s="15"/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93</v>
      </c>
      <c r="D10" s="75"/>
      <c r="E10" s="27" t="s">
        <v>65</v>
      </c>
      <c r="F10" s="26"/>
      <c r="G10" s="27"/>
      <c r="H10" s="26" t="s">
        <v>94</v>
      </c>
      <c r="I10" s="28"/>
      <c r="J10" s="26"/>
      <c r="K10" s="28" t="s">
        <v>26</v>
      </c>
      <c r="L10" s="29" t="s">
        <v>10</v>
      </c>
    </row>
    <row r="11" spans="1:12" ht="12" customHeight="1">
      <c r="B11" s="50"/>
      <c r="C11" s="76"/>
      <c r="D11" s="65"/>
      <c r="E11" s="20" t="s">
        <v>74</v>
      </c>
      <c r="F11" s="30"/>
      <c r="G11" s="20"/>
      <c r="H11" s="17"/>
      <c r="I11" s="20"/>
      <c r="J11" s="30"/>
      <c r="K11" s="20"/>
      <c r="L11" s="31">
        <f>SUM(C9:L9)</f>
        <v>4800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4800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4800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4800</v>
      </c>
      <c r="L19" s="31">
        <f>C19-E19</f>
        <v>4800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A2:B2"/>
    <mergeCell ref="B3:F3"/>
    <mergeCell ref="B4:C4"/>
    <mergeCell ref="D4:E4"/>
    <mergeCell ref="B5:C5"/>
    <mergeCell ref="D5:E5"/>
    <mergeCell ref="B18:B19"/>
    <mergeCell ref="C18:D18"/>
    <mergeCell ref="C19:D19"/>
    <mergeCell ref="B8:B11"/>
    <mergeCell ref="C8:D8"/>
    <mergeCell ref="C9:D9"/>
    <mergeCell ref="C10:D10"/>
    <mergeCell ref="C11:D11"/>
    <mergeCell ref="B13:B16"/>
    <mergeCell ref="C13:D13"/>
    <mergeCell ref="C14:D14"/>
    <mergeCell ref="C15:D15"/>
    <mergeCell ref="C16:D16"/>
  </mergeCells>
  <phoneticPr fontId="16"/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74"/>
  <sheetViews>
    <sheetView zoomScale="114" workbookViewId="0">
      <selection activeCell="C11" sqref="C11:D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8">
        <v>2026</v>
      </c>
      <c r="B2" s="55"/>
      <c r="C2" s="1" t="s">
        <v>0</v>
      </c>
      <c r="D2" s="2"/>
      <c r="E2" s="2" t="s">
        <v>67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>
      <c r="B5" s="57" t="s">
        <v>4</v>
      </c>
      <c r="C5" s="58"/>
      <c r="D5" s="59" t="s">
        <v>27</v>
      </c>
      <c r="E5" s="58"/>
      <c r="F5" s="8" t="s">
        <v>5</v>
      </c>
      <c r="G5" s="9">
        <v>2</v>
      </c>
      <c r="J5" s="10"/>
    </row>
    <row r="6" spans="1:12" ht="1.5" customHeight="1">
      <c r="B6" s="11"/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25</v>
      </c>
      <c r="D8" s="61"/>
      <c r="E8" s="25" t="s">
        <v>35</v>
      </c>
      <c r="F8" s="13" t="s">
        <v>53</v>
      </c>
      <c r="G8" s="25" t="s">
        <v>54</v>
      </c>
      <c r="H8" s="13" t="s">
        <v>8</v>
      </c>
      <c r="I8" s="12"/>
      <c r="J8" s="12"/>
      <c r="K8" s="12" t="s">
        <v>9</v>
      </c>
      <c r="L8" s="14"/>
    </row>
    <row r="9" spans="1:12" ht="12" customHeight="1">
      <c r="B9" s="70"/>
      <c r="C9" s="62">
        <f>LEFT(C10,FIND("×",C10)-1)*RIGHT(C10,LEN(C10)-FIND("×",C10))+IF(C11&lt;&gt;"",LEFT(C11,FIND("×",C11)-1)*RIGHT(C11,LEN(C11)-FIND("×",C11)),0)</f>
        <v>11500</v>
      </c>
      <c r="D9" s="63"/>
      <c r="E9" s="15">
        <f>LEFT(E10,FIND("（受験生）×",E10)-1)*RIGHT(E10,LEN(E10)-FIND("×",E10))+LEFT(E11,FIND("（高校生）×",E11)-1)*RIGHT(E11,LEN(E11)-FIND("×",E11))</f>
        <v>0</v>
      </c>
      <c r="F9" s="15">
        <v>0</v>
      </c>
      <c r="G9" s="15">
        <v>0</v>
      </c>
      <c r="H9" s="15">
        <f>IF(H8&lt;&gt;"",LEFT(H10,FIND("×",H10)-1)*RIGHT(H10,LEN(H10)-FIND("×",H10))+IF(H11&lt;&gt;"",LEFT(H11,FIND("×",H11)-1)*RIGHT(H11,LEN(H11)-FIND("×",H11)),0),"")</f>
        <v>0</v>
      </c>
      <c r="I9" s="15"/>
      <c r="J9" s="15"/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69</v>
      </c>
      <c r="D10" s="75"/>
      <c r="E10" s="27" t="s">
        <v>40</v>
      </c>
      <c r="F10" s="26">
        <v>0</v>
      </c>
      <c r="G10" s="27"/>
      <c r="H10" s="26" t="s">
        <v>30</v>
      </c>
      <c r="I10" s="28"/>
      <c r="J10" s="26"/>
      <c r="K10" s="28" t="s">
        <v>26</v>
      </c>
      <c r="L10" s="29" t="s">
        <v>10</v>
      </c>
    </row>
    <row r="11" spans="1:12" ht="12" customHeight="1">
      <c r="B11" s="50"/>
      <c r="C11" s="66"/>
      <c r="D11" s="75"/>
      <c r="E11" s="20" t="s">
        <v>36</v>
      </c>
      <c r="F11" s="30"/>
      <c r="G11" s="20"/>
      <c r="H11" s="37"/>
      <c r="I11" s="20"/>
      <c r="J11" s="30"/>
      <c r="K11" s="20"/>
      <c r="L11" s="31">
        <f>SUM(C9:L9)</f>
        <v>11500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11500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11500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11500</v>
      </c>
      <c r="L19" s="31">
        <f>C19-E19</f>
        <v>11500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A2:B2"/>
    <mergeCell ref="B8:B11"/>
    <mergeCell ref="B13:B16"/>
    <mergeCell ref="C8:D8"/>
    <mergeCell ref="C11:D11"/>
    <mergeCell ref="C13:D13"/>
    <mergeCell ref="C14:D14"/>
    <mergeCell ref="B18:B19"/>
    <mergeCell ref="B3:F3"/>
    <mergeCell ref="B4:C4"/>
    <mergeCell ref="D4:E4"/>
    <mergeCell ref="B5:C5"/>
    <mergeCell ref="D5:E5"/>
    <mergeCell ref="C15:D15"/>
    <mergeCell ref="C16:D16"/>
    <mergeCell ref="C18:D18"/>
    <mergeCell ref="C19:D19"/>
    <mergeCell ref="C9:D9"/>
    <mergeCell ref="C10:D10"/>
  </mergeCells>
  <phoneticPr fontId="16"/>
  <pageMargins left="0.7" right="0.7" top="0.75" bottom="0.75" header="0" footer="0"/>
  <pageSetup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L974"/>
  <sheetViews>
    <sheetView zoomScale="94" workbookViewId="0">
      <selection activeCell="H11" sqref="H11"/>
    </sheetView>
  </sheetViews>
  <sheetFormatPr defaultColWidth="14.3984375" defaultRowHeight="15" customHeight="1"/>
  <cols>
    <col min="1" max="26" width="8.73046875" customWidth="1"/>
  </cols>
  <sheetData>
    <row r="1" spans="1:12" ht="18.75" customHeight="1"/>
    <row r="2" spans="1:12" ht="18" customHeight="1">
      <c r="A2" s="68">
        <v>2026</v>
      </c>
      <c r="B2" s="55"/>
      <c r="C2" s="1" t="s">
        <v>0</v>
      </c>
      <c r="D2" s="2"/>
      <c r="E2" s="2" t="s">
        <v>67</v>
      </c>
    </row>
    <row r="3" spans="1:12" ht="18" customHeight="1">
      <c r="B3" s="51" t="s">
        <v>1</v>
      </c>
      <c r="C3" s="52"/>
      <c r="D3" s="52"/>
      <c r="E3" s="52"/>
      <c r="F3" s="53"/>
      <c r="H3" s="3"/>
      <c r="I3" s="4"/>
      <c r="J3" s="5"/>
    </row>
    <row r="4" spans="1:12" ht="18" customHeight="1">
      <c r="B4" s="54"/>
      <c r="C4" s="55"/>
      <c r="D4" s="56" t="s">
        <v>2</v>
      </c>
      <c r="E4" s="55"/>
      <c r="F4" s="6"/>
      <c r="G4" s="36" t="s">
        <v>3</v>
      </c>
      <c r="H4" s="7"/>
    </row>
    <row r="5" spans="1:12" ht="18" customHeight="1">
      <c r="B5" s="57" t="s">
        <v>4</v>
      </c>
      <c r="C5" s="58"/>
      <c r="D5" s="59" t="s">
        <v>31</v>
      </c>
      <c r="E5" s="58"/>
      <c r="F5" s="8" t="s">
        <v>5</v>
      </c>
      <c r="G5" s="9">
        <v>5</v>
      </c>
      <c r="J5" s="10"/>
    </row>
    <row r="6" spans="1:12" ht="1.5" customHeight="1">
      <c r="B6" s="11"/>
      <c r="G6">
        <v>4</v>
      </c>
      <c r="J6" s="10"/>
    </row>
    <row r="7" spans="1:12" ht="1.5" customHeight="1">
      <c r="B7" s="21"/>
      <c r="C7" s="16"/>
      <c r="D7" s="16"/>
      <c r="E7" s="16"/>
      <c r="F7" s="22"/>
      <c r="G7" s="16"/>
      <c r="H7" s="16"/>
      <c r="I7" s="16"/>
      <c r="J7" s="16"/>
      <c r="K7" s="16"/>
      <c r="L7" s="16"/>
    </row>
    <row r="8" spans="1:12" ht="12" customHeight="1">
      <c r="A8" s="23"/>
      <c r="B8" s="69" t="s">
        <v>6</v>
      </c>
      <c r="C8" s="72" t="s">
        <v>7</v>
      </c>
      <c r="D8" s="61"/>
      <c r="E8" s="24" t="s">
        <v>50</v>
      </c>
      <c r="F8" s="13" t="s">
        <v>49</v>
      </c>
      <c r="G8" s="25" t="s">
        <v>52</v>
      </c>
      <c r="H8" s="13" t="s">
        <v>8</v>
      </c>
      <c r="I8" s="12"/>
      <c r="J8" s="12"/>
      <c r="K8" s="12" t="s">
        <v>9</v>
      </c>
      <c r="L8" s="14"/>
    </row>
    <row r="9" spans="1:12" ht="12" customHeight="1">
      <c r="B9" s="70"/>
      <c r="C9" s="62">
        <f>LEFT(C10,FIND("（ｺﾏ）×",C10)-1)*RIGHT(C10,LEN(C10)-FIND("×",C10))+IF(C11&lt;&gt;"",LEFT(C11,FIND("×",C11)-1)*RIGHT(C11,LEN(C11)-FIND("×",C11)),0)</f>
        <v>23000</v>
      </c>
      <c r="D9" s="63"/>
      <c r="E9" s="15">
        <f>LEFT(E10,FIND("（受験生）×",E10)-1)*RIGHT(E10,LEN(E10)-FIND("×",E10))+LEFT(E11,FIND("（高校生）×",E11)-1)*RIGHT(E11,LEN(E11)-FIND("×",E11))</f>
        <v>3200</v>
      </c>
      <c r="F9" s="15">
        <v>0</v>
      </c>
      <c r="G9" s="15">
        <v>0</v>
      </c>
      <c r="H9" s="15">
        <f>IF(H8&lt;&gt;"",LEFT(H10,FIND("×",H10)-1)*RIGHT(H10,LEN(H10)-FIND("×",H10))+IF(H11&lt;&gt;"",LEFT(H11,FIND("×",H11)-1)*RIGHT(H11,LEN(H11)-FIND("×",H11)),0),"")</f>
        <v>0</v>
      </c>
      <c r="I9" s="15" t="str">
        <f>IF(I8&lt;&gt;"",LEFT(I10,FIND("×",I10)-1)*RIGHT(I10,LEN(I10)-FIND("×",I10))+IF(I11&lt;&gt;"",LEFT(I11,FIND("×",I11)-1)*RIGHT(I11,LEN(I11)-FIND("×",I11)),0),"")</f>
        <v/>
      </c>
      <c r="J9" s="15" t="str">
        <f>IF(J8&lt;&gt;"",LEFT(J10,FIND("×",J10)-1)*RIGHT(J10,LEN(J10)-FIND("×",J10))+IF(J11&lt;&gt;"",LEFT(J11,FIND("×",J11)-1)*RIGHT(J11,LEN(J11)-FIND("×",J11)),0),"")</f>
        <v/>
      </c>
      <c r="K9" s="15">
        <f>IF(K8&lt;&gt;"",LEFT(K10,FIND("×",K10)-1)*RIGHT(K10,LEN(K10)-FIND("×",K10))+IF(K11&lt;&gt;"",LEFT(K11,FIND("×",K11)-1)*RIGHT(K11,LEN(K11)-FIND("×",K11)),0),"")</f>
        <v>0</v>
      </c>
      <c r="L9" s="33"/>
    </row>
    <row r="10" spans="1:12" ht="12" customHeight="1">
      <c r="B10" s="70"/>
      <c r="C10" s="66" t="s">
        <v>68</v>
      </c>
      <c r="D10" s="75"/>
      <c r="E10" s="18" t="s">
        <v>51</v>
      </c>
      <c r="F10" s="26"/>
      <c r="G10" s="27"/>
      <c r="H10" s="26" t="s">
        <v>58</v>
      </c>
      <c r="I10" s="28"/>
      <c r="J10" s="26"/>
      <c r="K10" s="28" t="s">
        <v>34</v>
      </c>
      <c r="L10" s="29" t="s">
        <v>10</v>
      </c>
    </row>
    <row r="11" spans="1:12" ht="12" customHeight="1">
      <c r="B11" s="50"/>
      <c r="C11" s="76"/>
      <c r="D11" s="65"/>
      <c r="E11" s="19" t="s">
        <v>57</v>
      </c>
      <c r="F11" s="30"/>
      <c r="G11" s="20"/>
      <c r="H11" s="17"/>
      <c r="I11" s="20"/>
      <c r="J11" s="30"/>
      <c r="K11" s="20"/>
      <c r="L11" s="31">
        <f>SUM(C9:L9)</f>
        <v>26200</v>
      </c>
    </row>
    <row r="12" spans="1:12" ht="1.5" customHeight="1">
      <c r="B12" s="32"/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2" ht="12" customHeight="1">
      <c r="B13" s="71" t="s">
        <v>12</v>
      </c>
      <c r="C13" s="60" t="s">
        <v>13</v>
      </c>
      <c r="D13" s="61"/>
      <c r="E13" s="12" t="s">
        <v>14</v>
      </c>
      <c r="F13" s="12" t="s">
        <v>15</v>
      </c>
      <c r="G13" s="12"/>
      <c r="H13" s="13" t="s">
        <v>16</v>
      </c>
      <c r="I13" s="12" t="s">
        <v>17</v>
      </c>
      <c r="J13" s="13" t="s">
        <v>18</v>
      </c>
      <c r="K13" s="12" t="s">
        <v>19</v>
      </c>
      <c r="L13" s="14" t="s">
        <v>20</v>
      </c>
    </row>
    <row r="14" spans="1:12" ht="12" customHeight="1">
      <c r="B14" s="70"/>
      <c r="C14" s="74">
        <v>0</v>
      </c>
      <c r="D14" s="63"/>
      <c r="E14" s="33">
        <v>0</v>
      </c>
      <c r="F14" s="34">
        <v>0</v>
      </c>
      <c r="G14" s="33"/>
      <c r="H14" s="34">
        <f>SUM(C14:G14)</f>
        <v>0</v>
      </c>
      <c r="I14" s="33">
        <f>L11-K9-H14</f>
        <v>26200</v>
      </c>
      <c r="J14" s="34">
        <v>0</v>
      </c>
      <c r="K14" s="33">
        <v>0</v>
      </c>
      <c r="L14" s="31">
        <f>SUM(J14:K14)</f>
        <v>0</v>
      </c>
    </row>
    <row r="15" spans="1:12" ht="12" customHeight="1">
      <c r="B15" s="70"/>
      <c r="C15" s="60"/>
      <c r="D15" s="61"/>
      <c r="E15" s="12"/>
      <c r="F15" s="13"/>
      <c r="G15" s="12"/>
      <c r="H15" s="13"/>
      <c r="I15" s="12"/>
      <c r="J15" s="13"/>
      <c r="K15" s="12"/>
      <c r="L15" s="14" t="s">
        <v>21</v>
      </c>
    </row>
    <row r="16" spans="1:12" ht="12" customHeight="1">
      <c r="B16" s="50"/>
      <c r="C16" s="62"/>
      <c r="D16" s="63"/>
      <c r="E16" s="33"/>
      <c r="F16" s="34"/>
      <c r="G16" s="33"/>
      <c r="H16" s="34"/>
      <c r="I16" s="33"/>
      <c r="J16" s="34"/>
      <c r="K16" s="33"/>
      <c r="L16" s="31">
        <f>H14+L14</f>
        <v>0</v>
      </c>
    </row>
    <row r="17" spans="2:12" ht="1.5" customHeight="1"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2:12" ht="12" customHeight="1">
      <c r="B18" s="49" t="s">
        <v>22</v>
      </c>
      <c r="C18" s="60" t="s">
        <v>10</v>
      </c>
      <c r="D18" s="61"/>
      <c r="E18" s="12" t="s">
        <v>21</v>
      </c>
      <c r="F18" s="13"/>
      <c r="G18" s="12"/>
      <c r="H18" s="13"/>
      <c r="I18" s="12"/>
      <c r="J18" s="13"/>
      <c r="K18" s="12" t="s">
        <v>23</v>
      </c>
      <c r="L18" s="14" t="s">
        <v>24</v>
      </c>
    </row>
    <row r="19" spans="2:12" ht="12" customHeight="1">
      <c r="B19" s="50"/>
      <c r="C19" s="64">
        <f>L11</f>
        <v>26200</v>
      </c>
      <c r="D19" s="63"/>
      <c r="E19" s="33">
        <f>L16</f>
        <v>0</v>
      </c>
      <c r="F19" s="34"/>
      <c r="G19" s="33"/>
      <c r="H19" s="34"/>
      <c r="I19" s="33"/>
      <c r="J19" s="34"/>
      <c r="K19" s="33">
        <f>L19-J19</f>
        <v>26200</v>
      </c>
      <c r="L19" s="31">
        <f>C19-E19</f>
        <v>26200</v>
      </c>
    </row>
    <row r="20" spans="2:12" ht="18.75" customHeight="1"/>
    <row r="21" spans="2:12" ht="18.75" customHeight="1"/>
    <row r="22" spans="2:12" ht="18.75" customHeight="1"/>
    <row r="23" spans="2:12" ht="18.75" customHeight="1"/>
    <row r="24" spans="2:12" ht="18.75" customHeight="1"/>
    <row r="25" spans="2:12" ht="18.75" customHeight="1"/>
    <row r="26" spans="2:12" ht="18.75" customHeight="1"/>
    <row r="27" spans="2:12" ht="18.75" customHeight="1"/>
    <row r="28" spans="2:12" ht="18.75" customHeight="1"/>
    <row r="29" spans="2:12" ht="18.75" customHeight="1"/>
    <row r="30" spans="2:12" ht="18.75" customHeight="1"/>
    <row r="31" spans="2:12" ht="18.75" customHeight="1"/>
    <row r="32" spans="2:12" ht="18.75" customHeight="1"/>
    <row r="33" ht="18.75" customHeight="1"/>
    <row r="34" ht="18.75" customHeight="1"/>
    <row r="35" ht="18.75" customHeight="1"/>
    <row r="36" ht="18.75" customHeight="1"/>
    <row r="37" ht="18.75" customHeight="1"/>
    <row r="38" ht="18.75" customHeight="1"/>
    <row r="39" ht="18.75" customHeight="1"/>
    <row r="40" ht="18.75" customHeight="1"/>
    <row r="41" ht="18.75" customHeight="1"/>
    <row r="42" ht="18.75" customHeight="1"/>
    <row r="43" ht="18.75" customHeight="1"/>
    <row r="44" ht="18.75" customHeight="1"/>
    <row r="45" ht="18.75" customHeight="1"/>
    <row r="46" ht="18.75" customHeight="1"/>
    <row r="47" ht="18.75" customHeight="1"/>
    <row r="48" ht="18.75" customHeight="1"/>
    <row r="49" ht="18.75" customHeight="1"/>
    <row r="50" ht="18.75" customHeight="1"/>
    <row r="51" ht="18.75" customHeight="1"/>
    <row r="52" ht="18.75" customHeight="1"/>
    <row r="53" ht="18.75" customHeight="1"/>
    <row r="54" ht="18.75" customHeight="1"/>
    <row r="55" ht="18.75" customHeight="1"/>
    <row r="56" ht="18.75" customHeight="1"/>
    <row r="57" ht="18.75" customHeight="1"/>
    <row r="58" ht="18.75" customHeight="1"/>
    <row r="59" ht="18.75" customHeight="1"/>
    <row r="60" ht="18.75" customHeight="1"/>
    <row r="61" ht="18.75" customHeight="1"/>
    <row r="62" ht="18.75" customHeight="1"/>
    <row r="63" ht="18.75" customHeight="1"/>
    <row r="64" ht="18.75" customHeight="1"/>
    <row r="65" ht="18.75" customHeight="1"/>
    <row r="66" ht="18.75" customHeight="1"/>
    <row r="67" ht="18.75" customHeight="1"/>
    <row r="68" ht="18.75" customHeight="1"/>
    <row r="69" ht="18.75" customHeight="1"/>
    <row r="70" ht="18.75" customHeight="1"/>
    <row r="71" ht="18.75" customHeight="1"/>
    <row r="72" ht="18.75" customHeight="1"/>
    <row r="73" ht="18.75" customHeight="1"/>
    <row r="74" ht="18.75" customHeight="1"/>
    <row r="75" ht="18.75" customHeight="1"/>
    <row r="76" ht="18.75" customHeight="1"/>
    <row r="77" ht="18.75" customHeight="1"/>
    <row r="78" ht="18.75" customHeight="1"/>
    <row r="79" ht="18.75" customHeight="1"/>
    <row r="80" ht="18.75" customHeight="1"/>
    <row r="81" ht="18.75" customHeight="1"/>
    <row r="82" ht="18.75" customHeight="1"/>
    <row r="83" ht="18.75" customHeight="1"/>
    <row r="84" ht="18.75" customHeight="1"/>
    <row r="85" ht="18.75" customHeight="1"/>
    <row r="86" ht="18.75" customHeight="1"/>
    <row r="87" ht="18.75" customHeight="1"/>
    <row r="88" ht="18.75" customHeight="1"/>
    <row r="89" ht="18.75" customHeight="1"/>
    <row r="90" ht="18.75" customHeight="1"/>
    <row r="91" ht="18.75" customHeight="1"/>
    <row r="92" ht="18.75" customHeight="1"/>
    <row r="93" ht="18.75" customHeight="1"/>
    <row r="94" ht="18.75" customHeight="1"/>
    <row r="95" ht="18.75" customHeight="1"/>
    <row r="96" ht="18.75" customHeight="1"/>
    <row r="97" ht="18.75" customHeight="1"/>
    <row r="98" ht="18.75" customHeight="1"/>
    <row r="99" ht="18.75" customHeight="1"/>
    <row r="100" ht="18.75" customHeight="1"/>
    <row r="101" ht="18.75" customHeight="1"/>
    <row r="102" ht="18.75" customHeight="1"/>
    <row r="103" ht="18.75" customHeight="1"/>
    <row r="104" ht="18.75" customHeight="1"/>
    <row r="105" ht="18.75" customHeight="1"/>
    <row r="106" ht="18.75" customHeight="1"/>
    <row r="107" ht="18.75" customHeight="1"/>
    <row r="108" ht="18.75" customHeight="1"/>
    <row r="109" ht="18.75" customHeight="1"/>
    <row r="110" ht="18.75" customHeight="1"/>
    <row r="111" ht="18.75" customHeight="1"/>
    <row r="112" ht="18.75" customHeight="1"/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  <row r="144" ht="18.75" customHeight="1"/>
    <row r="145" ht="18.75" customHeight="1"/>
    <row r="146" ht="18.75" customHeight="1"/>
    <row r="147" ht="18.75" customHeight="1"/>
    <row r="148" ht="18.75" customHeight="1"/>
    <row r="149" ht="18.75" customHeight="1"/>
    <row r="150" ht="18.75" customHeight="1"/>
    <row r="151" ht="18.75" customHeight="1"/>
    <row r="152" ht="18.75" customHeight="1"/>
    <row r="153" ht="18.75" customHeight="1"/>
    <row r="154" ht="18.75" customHeight="1"/>
    <row r="155" ht="18.75" customHeight="1"/>
    <row r="156" ht="18.75" customHeight="1"/>
    <row r="157" ht="18.75" customHeight="1"/>
    <row r="158" ht="18.75" customHeight="1"/>
    <row r="159" ht="18.75" customHeight="1"/>
    <row r="160" ht="18.75" customHeight="1"/>
    <row r="161" ht="18.75" customHeight="1"/>
    <row r="162" ht="18.75" customHeight="1"/>
    <row r="163" ht="18.75" customHeight="1"/>
    <row r="164" ht="18.75" customHeight="1"/>
    <row r="165" ht="18.75" customHeight="1"/>
    <row r="166" ht="18.75" customHeight="1"/>
    <row r="167" ht="18.75" customHeight="1"/>
    <row r="168" ht="18.75" customHeight="1"/>
    <row r="169" ht="18.75" customHeight="1"/>
    <row r="170" ht="18.75" customHeight="1"/>
    <row r="171" ht="18.75" customHeight="1"/>
    <row r="172" ht="18.75" customHeight="1"/>
    <row r="173" ht="18.75" customHeight="1"/>
    <row r="174" ht="18.75" customHeight="1"/>
    <row r="175" ht="18.75" customHeight="1"/>
    <row r="176" ht="18.75" customHeight="1"/>
    <row r="177" ht="18.75" customHeight="1"/>
    <row r="178" ht="18.75" customHeight="1"/>
    <row r="179" ht="18.75" customHeight="1"/>
    <row r="180" ht="18.75" customHeight="1"/>
    <row r="181" ht="18.75" customHeight="1"/>
    <row r="182" ht="18.75" customHeight="1"/>
    <row r="183" ht="18.75" customHeight="1"/>
    <row r="184" ht="18.75" customHeight="1"/>
    <row r="185" ht="18.75" customHeight="1"/>
    <row r="186" ht="18.75" customHeight="1"/>
    <row r="187" ht="18.75" customHeight="1"/>
    <row r="188" ht="18.75" customHeight="1"/>
    <row r="189" ht="18.75" customHeight="1"/>
    <row r="190" ht="18.75" customHeight="1"/>
    <row r="191" ht="18.75" customHeight="1"/>
    <row r="192" ht="18.75" customHeight="1"/>
    <row r="193" ht="18.75" customHeight="1"/>
    <row r="194" ht="18.75" customHeight="1"/>
    <row r="195" ht="18.75" customHeight="1"/>
    <row r="196" ht="18.75" customHeight="1"/>
    <row r="197" ht="18.75" customHeight="1"/>
    <row r="198" ht="18.75" customHeight="1"/>
    <row r="199" ht="18.75" customHeight="1"/>
    <row r="200" ht="18.75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</sheetData>
  <mergeCells count="19">
    <mergeCell ref="C10:D10"/>
    <mergeCell ref="C15:D15"/>
    <mergeCell ref="C16:D16"/>
    <mergeCell ref="C18:D18"/>
    <mergeCell ref="C19:D19"/>
    <mergeCell ref="A2:B2"/>
    <mergeCell ref="B8:B11"/>
    <mergeCell ref="B13:B16"/>
    <mergeCell ref="B18:B19"/>
    <mergeCell ref="B3:F3"/>
    <mergeCell ref="B4:C4"/>
    <mergeCell ref="D4:E4"/>
    <mergeCell ref="C14:D14"/>
    <mergeCell ref="B5:C5"/>
    <mergeCell ref="D5:E5"/>
    <mergeCell ref="C11:D11"/>
    <mergeCell ref="C13:D13"/>
    <mergeCell ref="C8:D8"/>
    <mergeCell ref="C9:D9"/>
  </mergeCells>
  <phoneticPr fontId="16"/>
  <pageMargins left="0.7" right="0.7" top="0.75" bottom="0.75" header="0" footer="0"/>
  <pageSetup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9704D-E38D-4A1A-A96E-723DB78710BF}">
  <dimension ref="A1"/>
  <sheetViews>
    <sheetView workbookViewId="0"/>
  </sheetViews>
  <sheetFormatPr defaultRowHeight="14.25"/>
  <sheetData/>
  <phoneticPr fontId="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14</vt:i4>
      </vt:variant>
      <vt:variant>
        <vt:lpstr>名前付き一覧</vt:lpstr>
      </vt:variant>
      <vt:variant>
        <vt:i4>2</vt:i4>
      </vt:variant>
    </vt:vector>
  </HeadingPairs>
  <TitlesOfParts>
    <vt:vector size="16" baseType="lpstr">
      <vt:lpstr>中村先生</vt:lpstr>
      <vt:lpstr>波田野</vt:lpstr>
      <vt:lpstr>横山</vt:lpstr>
      <vt:lpstr>近藤</vt:lpstr>
      <vt:lpstr>半田久</vt:lpstr>
      <vt:lpstr>内村</vt:lpstr>
      <vt:lpstr>内村舜</vt:lpstr>
      <vt:lpstr>岡田</vt:lpstr>
      <vt:lpstr>中塚</vt:lpstr>
      <vt:lpstr>田村</vt:lpstr>
      <vt:lpstr>徳田</vt:lpstr>
      <vt:lpstr>濱田</vt:lpstr>
      <vt:lpstr>一之谷</vt:lpstr>
      <vt:lpstr>Sheet2</vt:lpstr>
      <vt:lpstr>中村先生!Print_Area</vt:lpstr>
      <vt:lpstr>徳田!Print_Area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1221 ky</dc:creator>
  <cp:lastModifiedBy>Nana Yamakawa</cp:lastModifiedBy>
  <cp:lastPrinted>2026-04-13T23:34:45Z</cp:lastPrinted>
  <dcterms:created xsi:type="dcterms:W3CDTF">2023-02-18T07:29:35Z</dcterms:created>
  <dcterms:modified xsi:type="dcterms:W3CDTF">2026-04-15T08:32:17Z</dcterms:modified>
</cp:coreProperties>
</file>