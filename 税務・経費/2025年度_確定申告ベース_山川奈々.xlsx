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ec634e50cd4362f7/デスクトップ/"/>
    </mc:Choice>
  </mc:AlternateContent>
  <xr:revisionPtr revIDLastSave="2" documentId="8_{BA27508E-B4AE-4F60-8FA4-45CCE1209B5C}" xr6:coauthVersionLast="47" xr6:coauthVersionMax="47" xr10:uidLastSave="{930C3F5E-637C-4CB0-8680-BF440524969C}"/>
  <bookViews>
    <workbookView xWindow="-98" yWindow="-98" windowWidth="21795" windowHeight="13875" xr2:uid="{00000000-000D-0000-FFFF-FFFF00000000}"/>
  </bookViews>
  <sheets>
    <sheet name="塾業" sheetId="1" r:id="rId1"/>
    <sheet name="エステ業（浜松）" sheetId="2" r:id="rId2"/>
    <sheet name="全体集計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B10" i="2"/>
  <c r="B23" i="2"/>
  <c r="C4" i="3" s="1"/>
  <c r="B22" i="2"/>
  <c r="B4" i="3" s="1"/>
  <c r="C23" i="1"/>
  <c r="C3" i="3" s="1"/>
  <c r="C22" i="1"/>
  <c r="C24" i="1" l="1"/>
  <c r="B3" i="3"/>
  <c r="B5" i="3" s="1"/>
  <c r="C5" i="3"/>
  <c r="D4" i="3"/>
  <c r="B24" i="2"/>
  <c r="D3" i="3" l="1"/>
  <c r="D5" i="3" s="1"/>
</calcChain>
</file>

<file path=xl/sharedStrings.xml><?xml version="1.0" encoding="utf-8"?>
<sst xmlns="http://schemas.openxmlformats.org/spreadsheetml/2006/main" count="58" uniqueCount="42">
  <si>
    <t>項目</t>
  </si>
  <si>
    <t>2023年度実績（参考）</t>
  </si>
  <si>
    <t>2025年度入力用</t>
  </si>
  <si>
    <t>【収入】</t>
  </si>
  <si>
    <t>授業料収入</t>
  </si>
  <si>
    <t>教材費販売収入</t>
  </si>
  <si>
    <t>その他収入</t>
  </si>
  <si>
    <t>【経費】</t>
  </si>
  <si>
    <t>人件費</t>
  </si>
  <si>
    <t>家賃</t>
  </si>
  <si>
    <t>光熱費</t>
  </si>
  <si>
    <t>教材費</t>
  </si>
  <si>
    <t>広告宣伝費</t>
  </si>
  <si>
    <t>通信費</t>
  </si>
  <si>
    <t>備品・消耗品費</t>
  </si>
  <si>
    <t>修繕費</t>
  </si>
  <si>
    <t>旅費交通費</t>
  </si>
  <si>
    <t>研修費</t>
  </si>
  <si>
    <t>減価償却費(のれん)</t>
  </si>
  <si>
    <t>雑費</t>
  </si>
  <si>
    <t>初期費用</t>
  </si>
  <si>
    <t>収入合計</t>
  </si>
  <si>
    <t>経費合計</t>
  </si>
  <si>
    <t>塾業所得</t>
  </si>
  <si>
    <t>施術料収入</t>
  </si>
  <si>
    <t>商品販売収入</t>
  </si>
  <si>
    <t>地代家賃（浜松店舗）</t>
  </si>
  <si>
    <t>水道光熱費</t>
  </si>
  <si>
    <t>仕入高（消耗品・オイル等）</t>
  </si>
  <si>
    <t>旅費交通費（移動費）</t>
  </si>
  <si>
    <t>減価償却費</t>
  </si>
  <si>
    <t>開業費（初期費用）</t>
  </si>
  <si>
    <t>エステ業所得</t>
  </si>
  <si>
    <t>事業</t>
  </si>
  <si>
    <t>所得（利益）</t>
  </si>
  <si>
    <t>塾業</t>
  </si>
  <si>
    <t>エステ業</t>
  </si>
  <si>
    <t>合計</t>
  </si>
  <si>
    <t>助成金</t>
    <rPh sb="0" eb="3">
      <t>ジョセイキン</t>
    </rPh>
    <phoneticPr fontId="3"/>
  </si>
  <si>
    <t>デジタル</t>
    <phoneticPr fontId="3"/>
  </si>
  <si>
    <t>浜松経営</t>
    <rPh sb="0" eb="2">
      <t>ハママツ</t>
    </rPh>
    <rPh sb="2" eb="4">
      <t>ケイエイ</t>
    </rPh>
    <phoneticPr fontId="3"/>
  </si>
  <si>
    <t>Relifeからの転貸賃料</t>
    <rPh sb="9" eb="11">
      <t>テンタイ</t>
    </rPh>
    <rPh sb="11" eb="13">
      <t>チンリョウ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</si>
</sst>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¥&quot;#,##0_);[Red]\(&quot;¥&quot;#,##0\)"/>
  </numFmts>
  <fonts count="4" x14ac:knownFonts="1">
    <font>
      <sz val="11"/>
      <color theme="1"/>
      <name val="ＭＳ Ｐゴシック"/>
      <scheme val="minor"/>
    </font>
    <font>
      <b/>
      <sz val="11"/>
      <name val="Calibri"/>
      <family val="2"/>
    </font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10">
    <xf numFmtId="0" fontId="0" fillId="0" borderId="1" xfId="0"/>
    <xf numFmtId="0" fontId="0" fillId="0" borderId="1" xfId="0" applyAlignment="1">
      <alignment horizontal="center" vertical="center"/>
    </xf>
    <xf numFmtId="0" fontId="1" fillId="2" borderId="2" xfId="0" applyFont="1" applyFill="1" applyBorder="1" applyAlignment="1">
      <alignment horizontal="left"/>
    </xf>
    <xf numFmtId="0" fontId="1" fillId="0" borderId="2" xfId="0" applyFont="1" applyBorder="1" applyAlignment="1">
      <alignment horizontal="left"/>
    </xf>
    <xf numFmtId="0" fontId="0" fillId="0" borderId="2" xfId="0" applyBorder="1" applyAlignment="1">
      <alignment horizontal="left"/>
    </xf>
    <xf numFmtId="176" fontId="0" fillId="0" borderId="1" xfId="0" applyNumberFormat="1" applyAlignment="1">
      <alignment horizontal="center" vertical="center"/>
    </xf>
    <xf numFmtId="176" fontId="1" fillId="2" borderId="2" xfId="0" applyNumberFormat="1" applyFont="1" applyFill="1" applyBorder="1" applyAlignment="1">
      <alignment horizontal="left"/>
    </xf>
    <xf numFmtId="176" fontId="0" fillId="0" borderId="2" xfId="0" applyNumberFormat="1" applyBorder="1" applyAlignment="1">
      <alignment horizontal="left"/>
    </xf>
    <xf numFmtId="176" fontId="0" fillId="0" borderId="1" xfId="0" applyNumberFormat="1"/>
    <xf numFmtId="0" fontId="2" fillId="0" borderId="1" xfId="0" applyFon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48265-DDE1-52A8-F598-A15FCCCA7FF7}">
  <dimension ref="A1:AX24"/>
  <sheetViews>
    <sheetView tabSelected="1" workbookViewId="0">
      <pane ySplit="1" topLeftCell="A8" activePane="bottomLeft" state="frozen"/>
      <selection pane="bottomLeft" activeCell="C19" sqref="C19"/>
    </sheetView>
  </sheetViews>
  <sheetFormatPr defaultColWidth="9.1328125" defaultRowHeight="21.75" customHeight="1" x14ac:dyDescent="0.25"/>
  <cols>
    <col min="1" max="1" width="18.59765625" customWidth="1"/>
    <col min="2" max="2" width="21.59765625" style="8" customWidth="1"/>
    <col min="3" max="3" width="15.265625" style="8" customWidth="1"/>
  </cols>
  <sheetData>
    <row r="1" spans="1:50" ht="21.75" customHeight="1" x14ac:dyDescent="0.25">
      <c r="A1" s="1"/>
      <c r="B1" s="5"/>
      <c r="C1" s="5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ht="21.75" customHeight="1" x14ac:dyDescent="0.45">
      <c r="A2" s="2" t="s">
        <v>0</v>
      </c>
      <c r="B2" s="6" t="s">
        <v>1</v>
      </c>
      <c r="C2" s="6" t="s">
        <v>2</v>
      </c>
    </row>
    <row r="3" spans="1:50" ht="21.75" customHeight="1" x14ac:dyDescent="0.45">
      <c r="A3" s="3" t="s">
        <v>3</v>
      </c>
      <c r="B3" s="7"/>
      <c r="C3" s="7"/>
    </row>
    <row r="4" spans="1:50" ht="21.75" customHeight="1" x14ac:dyDescent="0.25">
      <c r="A4" s="4" t="s">
        <v>4</v>
      </c>
      <c r="B4" s="7"/>
      <c r="C4" s="7">
        <f>12489150+1739138+1000000</f>
        <v>15228288</v>
      </c>
    </row>
    <row r="5" spans="1:50" ht="21.75" customHeight="1" x14ac:dyDescent="0.25">
      <c r="A5" s="4" t="s">
        <v>5</v>
      </c>
      <c r="B5" s="7">
        <v>0</v>
      </c>
      <c r="C5" s="7">
        <v>0</v>
      </c>
    </row>
    <row r="6" spans="1:50" ht="21.75" customHeight="1" x14ac:dyDescent="0.25">
      <c r="A6" s="4" t="s">
        <v>6</v>
      </c>
      <c r="B6" s="7">
        <v>0</v>
      </c>
      <c r="C6" s="7">
        <v>0</v>
      </c>
    </row>
    <row r="7" spans="1:50" ht="21.75" customHeight="1" x14ac:dyDescent="0.25">
      <c r="A7" s="4"/>
      <c r="B7" s="7"/>
      <c r="C7" s="7"/>
    </row>
    <row r="8" spans="1:50" ht="21.75" customHeight="1" x14ac:dyDescent="0.45">
      <c r="A8" s="3" t="s">
        <v>7</v>
      </c>
      <c r="B8" s="7"/>
      <c r="C8" s="7"/>
    </row>
    <row r="9" spans="1:50" ht="21.75" customHeight="1" x14ac:dyDescent="0.25">
      <c r="A9" s="4" t="s">
        <v>8</v>
      </c>
      <c r="B9" s="7">
        <v>5953083</v>
      </c>
      <c r="C9" s="7">
        <v>5984390</v>
      </c>
    </row>
    <row r="10" spans="1:50" ht="21.75" customHeight="1" x14ac:dyDescent="0.25">
      <c r="A10" s="4" t="s">
        <v>9</v>
      </c>
      <c r="B10" s="7">
        <v>1619000</v>
      </c>
      <c r="C10" s="7">
        <v>2400000</v>
      </c>
    </row>
    <row r="11" spans="1:50" ht="21.75" customHeight="1" x14ac:dyDescent="0.25">
      <c r="A11" s="4" t="s">
        <v>10</v>
      </c>
      <c r="B11" s="7">
        <v>168029</v>
      </c>
      <c r="C11" s="7">
        <v>0</v>
      </c>
    </row>
    <row r="12" spans="1:50" ht="21.75" customHeight="1" x14ac:dyDescent="0.25">
      <c r="A12" s="4" t="s">
        <v>11</v>
      </c>
      <c r="B12" s="7">
        <v>747381</v>
      </c>
      <c r="C12" s="7">
        <v>0</v>
      </c>
    </row>
    <row r="13" spans="1:50" ht="21.75" customHeight="1" x14ac:dyDescent="0.25">
      <c r="A13" s="4" t="s">
        <v>12</v>
      </c>
      <c r="B13" s="7">
        <v>562143</v>
      </c>
      <c r="C13" s="7">
        <v>0</v>
      </c>
    </row>
    <row r="14" spans="1:50" ht="21.75" customHeight="1" x14ac:dyDescent="0.25">
      <c r="A14" s="4" t="s">
        <v>13</v>
      </c>
      <c r="B14" s="7">
        <v>422909</v>
      </c>
      <c r="C14" s="7">
        <v>0</v>
      </c>
    </row>
    <row r="15" spans="1:50" ht="21.75" customHeight="1" x14ac:dyDescent="0.25">
      <c r="A15" s="4" t="s">
        <v>14</v>
      </c>
      <c r="B15" s="7">
        <v>434498</v>
      </c>
      <c r="C15" s="7">
        <v>0</v>
      </c>
    </row>
    <row r="16" spans="1:50" ht="21.75" customHeight="1" x14ac:dyDescent="0.25">
      <c r="A16" s="4" t="s">
        <v>15</v>
      </c>
      <c r="B16" s="7">
        <v>0</v>
      </c>
      <c r="C16" s="7">
        <v>0</v>
      </c>
    </row>
    <row r="17" spans="1:3" ht="21.75" customHeight="1" x14ac:dyDescent="0.25">
      <c r="A17" s="4" t="s">
        <v>16</v>
      </c>
      <c r="B17" s="7">
        <v>0</v>
      </c>
      <c r="C17" s="7">
        <v>0</v>
      </c>
    </row>
    <row r="18" spans="1:3" ht="21.75" customHeight="1" x14ac:dyDescent="0.25">
      <c r="A18" s="4" t="s">
        <v>17</v>
      </c>
      <c r="B18" s="7">
        <v>0</v>
      </c>
      <c r="C18" s="7">
        <v>29700</v>
      </c>
    </row>
    <row r="19" spans="1:3" ht="21.75" customHeight="1" x14ac:dyDescent="0.25">
      <c r="A19" s="4" t="s">
        <v>18</v>
      </c>
      <c r="B19" s="7">
        <v>0</v>
      </c>
      <c r="C19" s="7">
        <v>0</v>
      </c>
    </row>
    <row r="20" spans="1:3" ht="21.75" customHeight="1" x14ac:dyDescent="0.25">
      <c r="A20" s="4" t="s">
        <v>19</v>
      </c>
      <c r="B20" s="7">
        <v>2000000</v>
      </c>
      <c r="C20" s="7">
        <v>0</v>
      </c>
    </row>
    <row r="21" spans="1:3" ht="21.75" customHeight="1" x14ac:dyDescent="0.25">
      <c r="A21" s="4" t="s">
        <v>20</v>
      </c>
      <c r="B21" s="7">
        <v>300082</v>
      </c>
      <c r="C21" s="7">
        <v>0</v>
      </c>
    </row>
    <row r="22" spans="1:3" ht="21.75" customHeight="1" x14ac:dyDescent="0.25">
      <c r="A22" t="s">
        <v>21</v>
      </c>
      <c r="C22" s="8">
        <f>SUM(C4:C6)</f>
        <v>15228288</v>
      </c>
    </row>
    <row r="23" spans="1:3" ht="21.75" customHeight="1" x14ac:dyDescent="0.25">
      <c r="A23" t="s">
        <v>22</v>
      </c>
      <c r="C23" s="8">
        <f>SUM(C9:C21)</f>
        <v>8414090</v>
      </c>
    </row>
    <row r="24" spans="1:3" ht="21.75" customHeight="1" x14ac:dyDescent="0.25">
      <c r="A24" t="s">
        <v>23</v>
      </c>
      <c r="C24" s="8">
        <f>C22-C23</f>
        <v>6814198</v>
      </c>
    </row>
  </sheetData>
  <phoneticPr fontId="3"/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29958-D7B8-BFB5-C0B8-3623CA15F7A8}">
  <dimension ref="A1:AX27"/>
  <sheetViews>
    <sheetView workbookViewId="0">
      <pane ySplit="1" topLeftCell="A9" activePane="bottomLeft" state="frozen"/>
      <selection pane="bottomLeft" activeCell="B5" sqref="B5"/>
    </sheetView>
  </sheetViews>
  <sheetFormatPr defaultColWidth="9.1328125" defaultRowHeight="21.75" customHeight="1" x14ac:dyDescent="0.25"/>
  <cols>
    <col min="1" max="1" width="27.73046875" customWidth="1"/>
    <col min="2" max="2" width="15.265625" style="8" customWidth="1"/>
  </cols>
  <sheetData>
    <row r="1" spans="1:50" ht="21.75" customHeight="1" x14ac:dyDescent="0.25">
      <c r="A1" s="1"/>
      <c r="B1" s="5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ht="21.75" customHeight="1" x14ac:dyDescent="0.45">
      <c r="A2" s="2" t="s">
        <v>0</v>
      </c>
      <c r="B2" s="6" t="s">
        <v>2</v>
      </c>
    </row>
    <row r="3" spans="1:50" ht="21.75" customHeight="1" x14ac:dyDescent="0.45">
      <c r="A3" s="3" t="s">
        <v>3</v>
      </c>
      <c r="B3" s="7"/>
    </row>
    <row r="4" spans="1:50" ht="21.75" customHeight="1" x14ac:dyDescent="0.25">
      <c r="A4" s="4" t="s">
        <v>24</v>
      </c>
      <c r="B4" s="7">
        <v>668730</v>
      </c>
    </row>
    <row r="5" spans="1:50" ht="21.75" customHeight="1" x14ac:dyDescent="0.25">
      <c r="A5" s="4" t="s">
        <v>25</v>
      </c>
      <c r="B5" s="7">
        <v>0</v>
      </c>
    </row>
    <row r="6" spans="1:50" ht="21.75" customHeight="1" x14ac:dyDescent="0.25">
      <c r="A6" s="4" t="s">
        <v>6</v>
      </c>
      <c r="B6" s="7">
        <v>1200000</v>
      </c>
      <c r="C6" s="9" t="s">
        <v>41</v>
      </c>
    </row>
    <row r="7" spans="1:50" ht="21.75" customHeight="1" x14ac:dyDescent="0.25">
      <c r="A7" s="4"/>
      <c r="B7" s="7"/>
    </row>
    <row r="8" spans="1:50" ht="21.75" customHeight="1" x14ac:dyDescent="0.45">
      <c r="A8" s="3" t="s">
        <v>7</v>
      </c>
      <c r="B8" s="7"/>
    </row>
    <row r="9" spans="1:50" ht="21.75" customHeight="1" x14ac:dyDescent="0.25">
      <c r="A9" s="4" t="s">
        <v>8</v>
      </c>
      <c r="B9" s="7">
        <v>110213</v>
      </c>
    </row>
    <row r="10" spans="1:50" ht="21.75" customHeight="1" x14ac:dyDescent="0.25">
      <c r="A10" s="4" t="s">
        <v>26</v>
      </c>
      <c r="B10" s="7">
        <f>221440*12</f>
        <v>2657280</v>
      </c>
    </row>
    <row r="11" spans="1:50" ht="21.75" customHeight="1" x14ac:dyDescent="0.25">
      <c r="A11" s="4" t="s">
        <v>27</v>
      </c>
      <c r="B11" s="7">
        <v>0</v>
      </c>
    </row>
    <row r="12" spans="1:50" ht="21.75" customHeight="1" x14ac:dyDescent="0.25">
      <c r="A12" s="4" t="s">
        <v>28</v>
      </c>
      <c r="B12" s="7">
        <v>0</v>
      </c>
    </row>
    <row r="13" spans="1:50" ht="21.75" customHeight="1" x14ac:dyDescent="0.25">
      <c r="A13" s="4" t="s">
        <v>12</v>
      </c>
      <c r="B13" s="7">
        <v>0</v>
      </c>
    </row>
    <row r="14" spans="1:50" ht="21.75" customHeight="1" x14ac:dyDescent="0.25">
      <c r="A14" s="4" t="s">
        <v>13</v>
      </c>
      <c r="B14" s="7">
        <v>0</v>
      </c>
    </row>
    <row r="15" spans="1:50" ht="21.75" customHeight="1" x14ac:dyDescent="0.25">
      <c r="A15" s="4" t="s">
        <v>14</v>
      </c>
      <c r="B15" s="7">
        <v>0</v>
      </c>
    </row>
    <row r="16" spans="1:50" ht="21.75" customHeight="1" x14ac:dyDescent="0.25">
      <c r="A16" s="4" t="s">
        <v>15</v>
      </c>
      <c r="B16" s="7">
        <v>0</v>
      </c>
    </row>
    <row r="17" spans="1:3" ht="21.75" customHeight="1" x14ac:dyDescent="0.25">
      <c r="A17" s="4" t="s">
        <v>29</v>
      </c>
      <c r="B17" s="7">
        <v>0</v>
      </c>
    </row>
    <row r="18" spans="1:3" ht="21.75" customHeight="1" x14ac:dyDescent="0.25">
      <c r="A18" s="4" t="s">
        <v>17</v>
      </c>
      <c r="B18" s="7">
        <v>0</v>
      </c>
    </row>
    <row r="19" spans="1:3" ht="21.75" customHeight="1" x14ac:dyDescent="0.25">
      <c r="A19" s="4" t="s">
        <v>30</v>
      </c>
      <c r="B19" s="7">
        <v>0</v>
      </c>
    </row>
    <row r="20" spans="1:3" ht="21.75" customHeight="1" x14ac:dyDescent="0.25">
      <c r="A20" s="4" t="s">
        <v>19</v>
      </c>
      <c r="B20" s="7">
        <v>0</v>
      </c>
    </row>
    <row r="21" spans="1:3" ht="21.75" customHeight="1" x14ac:dyDescent="0.25">
      <c r="A21" s="4" t="s">
        <v>31</v>
      </c>
      <c r="B21" s="7">
        <v>0</v>
      </c>
    </row>
    <row r="22" spans="1:3" ht="21.75" customHeight="1" x14ac:dyDescent="0.25">
      <c r="A22" t="s">
        <v>21</v>
      </c>
      <c r="B22" s="8">
        <f>SUM(B4:B6)</f>
        <v>1868730</v>
      </c>
    </row>
    <row r="23" spans="1:3" ht="21.75" customHeight="1" x14ac:dyDescent="0.25">
      <c r="A23" t="s">
        <v>22</v>
      </c>
      <c r="B23" s="8">
        <f>SUM(B9:B21)</f>
        <v>2767493</v>
      </c>
    </row>
    <row r="24" spans="1:3" ht="21.75" customHeight="1" x14ac:dyDescent="0.25">
      <c r="A24" t="s">
        <v>32</v>
      </c>
      <c r="B24" s="8">
        <f>B22-B23</f>
        <v>-898763</v>
      </c>
    </row>
    <row r="26" spans="1:3" ht="21.75" customHeight="1" x14ac:dyDescent="0.25">
      <c r="A26" s="9" t="s">
        <v>38</v>
      </c>
      <c r="B26" s="8">
        <v>135000</v>
      </c>
      <c r="C26" s="9" t="s">
        <v>39</v>
      </c>
    </row>
    <row r="27" spans="1:3" ht="21.75" customHeight="1" x14ac:dyDescent="0.25">
      <c r="B27" s="8">
        <v>423163</v>
      </c>
      <c r="C27" s="9" t="s">
        <v>40</v>
      </c>
    </row>
  </sheetData>
  <phoneticPr fontId="3"/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5D6E8-B5F8-9912-1F78-3CCFD00CD688}">
  <dimension ref="A1:AX5"/>
  <sheetViews>
    <sheetView workbookViewId="0">
      <pane ySplit="1" topLeftCell="A2" activePane="bottomLeft" state="frozen"/>
      <selection pane="bottomLeft"/>
    </sheetView>
  </sheetViews>
  <sheetFormatPr defaultColWidth="9.1328125" defaultRowHeight="21.75" customHeight="1" x14ac:dyDescent="0.25"/>
  <cols>
    <col min="1" max="3" width="8.86328125" customWidth="1"/>
    <col min="4" max="4" width="13" customWidth="1"/>
  </cols>
  <sheetData>
    <row r="1" spans="1:50" ht="21.7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ht="21.75" customHeight="1" x14ac:dyDescent="0.45">
      <c r="A2" s="2" t="s">
        <v>33</v>
      </c>
      <c r="B2" s="2" t="s">
        <v>21</v>
      </c>
      <c r="C2" s="2" t="s">
        <v>22</v>
      </c>
      <c r="D2" s="2" t="s">
        <v>34</v>
      </c>
    </row>
    <row r="3" spans="1:50" ht="21.75" customHeight="1" x14ac:dyDescent="0.25">
      <c r="A3" s="4" t="s">
        <v>35</v>
      </c>
      <c r="B3" s="4">
        <f>塾業!C22</f>
        <v>15228288</v>
      </c>
      <c r="C3" s="4">
        <f>塾業!C23</f>
        <v>8414090</v>
      </c>
      <c r="D3" s="4">
        <f t="shared" ref="D3:D4" si="0">B3-C3</f>
        <v>6814198</v>
      </c>
    </row>
    <row r="4" spans="1:50" ht="21.75" customHeight="1" x14ac:dyDescent="0.25">
      <c r="A4" s="4" t="s">
        <v>36</v>
      </c>
      <c r="B4" s="4">
        <f>'エステ業（浜松）'!B22</f>
        <v>1868730</v>
      </c>
      <c r="C4" s="4">
        <f>'エステ業（浜松）'!B23</f>
        <v>2767493</v>
      </c>
      <c r="D4" s="4">
        <f t="shared" si="0"/>
        <v>-898763</v>
      </c>
    </row>
    <row r="5" spans="1:50" ht="21.75" customHeight="1" x14ac:dyDescent="0.45">
      <c r="A5" s="3" t="s">
        <v>37</v>
      </c>
      <c r="B5" s="4">
        <f t="shared" ref="B5:D5" si="1">SUM(B3:B4)</f>
        <v>17097018</v>
      </c>
      <c r="C5" s="4">
        <f t="shared" si="1"/>
        <v>11181583</v>
      </c>
      <c r="D5" s="4">
        <f t="shared" si="1"/>
        <v>5915435</v>
      </c>
    </row>
  </sheetData>
  <phoneticPr fontId="3"/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塾業</vt:lpstr>
      <vt:lpstr>エステ業（浜松）</vt:lpstr>
      <vt:lpstr>全体集計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Nana Yamakawa</cp:lastModifiedBy>
  <dcterms:created xsi:type="dcterms:W3CDTF">2026-03-08T04:53:24Z</dcterms:created>
  <dcterms:modified xsi:type="dcterms:W3CDTF">2026-03-09T05:07:00Z</dcterms:modified>
</cp:coreProperties>
</file>